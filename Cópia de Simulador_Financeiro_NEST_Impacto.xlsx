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S ANUAIS" sheetId="1" r:id="rId4"/>
    <sheet state="visible" name="RESULTADOS" sheetId="2" r:id="rId5"/>
  </sheets>
  <definedNames/>
  <calcPr/>
  <extLst>
    <ext uri="GoogleSheetsCustomDataVersion2">
      <go:sheetsCustomData xmlns:go="http://customooxmlschemas.google.com/" r:id="rId6" roundtripDataChecksum="RFdf2fMIhjoi6O8trCel6aR5aZ2fGBXEK1QI4bV03z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1">
      <text>
        <t xml:space="preserve">======
ID#AAAB7FIf9Gg
FABIO MARTINS    (2026-05-25 14:05:19)
As empresas iniciantes também podem adquirir receitas através de monetização ou parcerias: Investidores / Publicidade / Fundos Perdidos / Agência de Fomentos, etc.</t>
      </text>
    </comment>
    <comment authorId="0" ref="A10">
      <text>
        <t xml:space="preserve">======
ID#AAAB7FIf9GY
FABIO MARTINS    (2026-05-25 14:04:53)
Descrever qual produto / serviço.
Podem inserir mais linhas caso existam outros produtos / serviços.</t>
      </text>
    </comment>
    <comment authorId="0" ref="A9">
      <text>
        <t xml:space="preserve">======
ID#AAAB7FIf9GU
FABIO MARTINS    (2026-05-25 14:04:36)
Descrever qual é o produto ou serviço oferecido pela sua empresa.</t>
      </text>
    </comment>
    <comment authorId="0" ref="A19">
      <text>
        <t xml:space="preserve">======
ID#AAABdwXsQVc
Fábio Martins    (2025-03-21 18:58:52)
Custo consolidado de todos os integrantes para chegar ao local de trabalho, seja de carro, transporte público ou aplicativo.</t>
      </text>
    </comment>
    <comment authorId="0" ref="A25">
      <text>
        <t xml:space="preserve">======
ID#AAABdwXsQVY
Fábio Martins    (2025-03-21 18:58:52)
A remuneração do empreendedor é chamada de pró-labore. O pró-labore não precisa ser fixo e pode variar conforme os ganhos da empresa.</t>
      </text>
    </comment>
    <comment authorId="0" ref="A40">
      <text>
        <t xml:space="preserve">======
ID#AAABdwXsQVU
Fábio Martins    (2025-03-21 18:58:52)
Mesas, cadeiras, prateleiras, gôndulas, sofá, banquetas, etc.</t>
      </text>
    </comment>
    <comment authorId="0" ref="A39">
      <text>
        <t xml:space="preserve">======
ID#AAABdwXsQVQ
Fábio Martins    (2025-03-21 18:58:52)
Impressoras, Scanners, Televisores, Alto-falantes, SmartPhones ou aparelho de telefone fixo, Ar condicionado e ventiladores, etc.</t>
      </text>
    </comment>
    <comment authorId="0" ref="A38">
      <text>
        <t xml:space="preserve">======
ID#AAABdwXsQVM
Fábio Martins    (2025-03-21 18:58:52)
Notebooks ou Desktops</t>
      </text>
    </comment>
    <comment authorId="0" ref="A33">
      <text>
        <t xml:space="preserve">======
ID#AAABdwXsQVI
Fábio Martins    (2025-03-21 18:58:52)
Para conseguir todos os benefícios do MEI, o empreendedor precisa pagar a contribuição mensal (DAS). O Valor em 2025 do DAS é de R$81,90. Caso a empresa se qualifique como SIMPLES NACIONAL, desconsidere o pagamento deste valor.</t>
      </text>
    </comment>
  </commentList>
  <extLst>
    <ext uri="GoogleSheetsCustomDataVersion2">
      <go:sheetsCustomData xmlns:go="http://customooxmlschemas.google.com/" r:id="rId1" roundtripDataSignature="AMtx7mgfMeofo+2VyMd/NvVM0HasBsndzg=="/>
    </ext>
  </extLst>
</comments>
</file>

<file path=xl/sharedStrings.xml><?xml version="1.0" encoding="utf-8"?>
<sst xmlns="http://schemas.openxmlformats.org/spreadsheetml/2006/main" count="252" uniqueCount="72">
  <si>
    <r>
      <rPr>
        <rFont val="Roboto"/>
        <color theme="1"/>
        <sz val="12.0"/>
      </rPr>
      <t xml:space="preserve">
</t>
    </r>
    <r>
      <rPr>
        <rFont val="Roboto"/>
        <color theme="1"/>
        <sz val="12.0"/>
      </rPr>
      <t xml:space="preserve">Bem-vindos ao </t>
    </r>
    <r>
      <rPr>
        <rFont val="Roboto"/>
        <b/>
        <color theme="1"/>
        <sz val="12.0"/>
      </rPr>
      <t xml:space="preserve">Simulador Financeiro Ânima Nest. </t>
    </r>
    <r>
      <rPr>
        <rFont val="Roboto"/>
        <color theme="1"/>
        <sz val="12.0"/>
      </rPr>
      <t>Uma ferramenta auxiliadora e parte integrante na elaboração de um primeiro</t>
    </r>
    <r>
      <rPr>
        <rFont val="Roboto"/>
        <b/>
        <color rgb="FFFF3399"/>
        <sz val="12.0"/>
      </rPr>
      <t xml:space="preserve"> Plano de Negócios Empreendedor</t>
    </r>
    <r>
      <rPr>
        <rFont val="Roboto"/>
        <color theme="1"/>
        <sz val="12.0"/>
      </rPr>
      <t>.
Este simulador simpllifica e automatiza a realização dos cálculos financeiros, gerando projeções de resultados e indicadores de viabilidade fundamentais para a tomada de decisão do empreendedor iniciante. O objetivo principal dessa ferramenta é estabelecer uma conexão economicamente viável sobre questões relacionadas a faturamento, custos, despesas, lucro, capacidade de honrar compromissos, etc. Além disso, o jovem empreendedor poderá realizar análise de cenários, simulando o impacto de eventuais variações nos resultados da empresa, decidindo investimentos com muito mais segurança.</t>
    </r>
    <r>
      <rPr>
        <rFont val="Roboto"/>
        <color rgb="FFFF3399"/>
        <sz val="12.0"/>
      </rPr>
      <t xml:space="preserve">
</t>
    </r>
    <r>
      <rPr>
        <rFont val="Roboto"/>
        <b/>
        <color rgb="FFFF3399"/>
        <sz val="12.0"/>
      </rPr>
      <t xml:space="preserve">
Informações: </t>
    </r>
    <r>
      <rPr>
        <rFont val="Roboto"/>
        <color theme="1"/>
        <sz val="12.0"/>
      </rPr>
      <t xml:space="preserve">
1. Tenha em mãos valores estimados necessários para a realização do empreendimento, tais como: a) quantidade de dias que a empresa funicionará por mês; b) gastos com aquisição de máquinas, computadores, licenças, mobiliário, etc; c) Despesas fixas mensais como, aluguel, água, energia elétrica, seguro, internet e telefone, etc; d) quantidade de pessoal inicial; Com essas informações à mão, antes de preencher os campos </t>
    </r>
    <r>
      <rPr>
        <rFont val="Roboto"/>
        <b/>
        <i/>
        <color theme="1"/>
        <sz val="12.0"/>
      </rPr>
      <t>Investidores</t>
    </r>
    <r>
      <rPr>
        <rFont val="Roboto"/>
        <color theme="1"/>
        <sz val="12.0"/>
      </rPr>
      <t xml:space="preserve"> e </t>
    </r>
    <r>
      <rPr>
        <rFont val="Roboto"/>
        <b/>
        <i/>
        <color theme="1"/>
        <sz val="12.0"/>
      </rPr>
      <t>Receita</t>
    </r>
    <r>
      <rPr>
        <rFont val="Roboto"/>
        <color theme="1"/>
        <sz val="12.0"/>
      </rPr>
      <t xml:space="preserve">, preencha os valores </t>
    </r>
    <r>
      <rPr>
        <rFont val="Roboto"/>
        <b/>
        <i/>
        <color theme="1"/>
        <sz val="12.0"/>
      </rPr>
      <t>Custos Fixos</t>
    </r>
    <r>
      <rPr>
        <rFont val="Roboto"/>
        <color theme="1"/>
        <sz val="12.0"/>
      </rPr>
      <t xml:space="preserve">, </t>
    </r>
    <r>
      <rPr>
        <rFont val="Roboto"/>
        <b/>
        <i/>
        <color theme="1"/>
        <sz val="12.0"/>
      </rPr>
      <t>Colaboradores</t>
    </r>
    <r>
      <rPr>
        <rFont val="Roboto"/>
        <color theme="1"/>
        <sz val="12.0"/>
      </rPr>
      <t xml:space="preserve">, </t>
    </r>
    <r>
      <rPr>
        <rFont val="Roboto"/>
        <b/>
        <i/>
        <color theme="1"/>
        <sz val="12.0"/>
      </rPr>
      <t xml:space="preserve">Custos variáveis </t>
    </r>
    <r>
      <rPr>
        <rFont val="Roboto"/>
        <i/>
        <color theme="1"/>
        <sz val="12.0"/>
      </rPr>
      <t>e</t>
    </r>
    <r>
      <rPr>
        <rFont val="Roboto"/>
        <b/>
        <i/>
        <color theme="1"/>
        <sz val="12.0"/>
      </rPr>
      <t xml:space="preserve"> Investimento</t>
    </r>
    <r>
      <rPr>
        <rFont val="Roboto"/>
        <color theme="1"/>
        <sz val="12.0"/>
      </rPr>
      <t xml:space="preserve">. 
2. Caso o seu modelo de negócio não dependa de um determinado item, coloque-o o valor como </t>
    </r>
    <r>
      <rPr>
        <rFont val="Roboto"/>
        <b/>
        <color theme="1"/>
        <sz val="12.0"/>
      </rPr>
      <t>R$ 0,00</t>
    </r>
    <r>
      <rPr>
        <rFont val="Roboto"/>
        <color theme="1"/>
        <sz val="12.0"/>
      </rPr>
      <t xml:space="preserve">. </t>
    </r>
    <r>
      <rPr>
        <rFont val="Roboto"/>
        <b/>
        <color rgb="FFFF3399"/>
        <sz val="12.0"/>
      </rPr>
      <t>Evite apagar a célula</t>
    </r>
    <r>
      <rPr>
        <rFont val="Roboto"/>
        <color rgb="FFFF3399"/>
        <sz val="12.0"/>
      </rPr>
      <t>.</t>
    </r>
    <r>
      <rPr>
        <rFont val="Roboto"/>
        <color theme="1"/>
        <sz val="12.0"/>
      </rPr>
      <t xml:space="preserve">
3. No campo </t>
    </r>
    <r>
      <rPr>
        <rFont val="Roboto"/>
        <b/>
        <color theme="1"/>
        <sz val="12.0"/>
      </rPr>
      <t>Colaboradores</t>
    </r>
    <r>
      <rPr>
        <rFont val="Roboto"/>
        <color theme="1"/>
        <sz val="12.0"/>
      </rPr>
      <t>, adicione o cargo pertinente e o custo com salário mensal, incluindo o seu, da equipe e de demais colaboradores externo. Caso tenha mais colaboradores, adicione outras células abaixo de "</t>
    </r>
    <r>
      <rPr>
        <rFont val="Roboto"/>
        <b/>
        <color theme="1"/>
        <sz val="12.0"/>
      </rPr>
      <t>Colaborador 4"</t>
    </r>
    <r>
      <rPr>
        <rFont val="Roboto"/>
        <color theme="1"/>
        <sz val="12.0"/>
      </rPr>
      <t xml:space="preserve">. O salário mínimo vigente no ano de 2025 é de </t>
    </r>
    <r>
      <rPr>
        <rFont val="Roboto"/>
        <b/>
        <color rgb="FFFF3399"/>
        <sz val="12.0"/>
      </rPr>
      <t>R$ 1.509,00</t>
    </r>
    <r>
      <rPr>
        <rFont val="Roboto"/>
        <color theme="1"/>
        <sz val="12.0"/>
      </rPr>
      <t>.
4. Em 2025, o limite de faturamento anual para</t>
    </r>
    <r>
      <rPr>
        <rFont val="Roboto"/>
        <b/>
        <color theme="1"/>
        <sz val="12.0"/>
      </rPr>
      <t xml:space="preserve"> MEI</t>
    </r>
    <r>
      <rPr>
        <rFont val="Roboto"/>
        <color theme="1"/>
        <sz val="12.0"/>
      </rPr>
      <t xml:space="preserve"> é de R$81.000,00. Faturamentos acima desse valor, a empresa se enquadra no Modelo Simples Nacional, na qual depende de um contador.
</t>
    </r>
    <r>
      <rPr>
        <rFont val="Roboto"/>
        <b/>
        <color rgb="FFFF3399"/>
        <sz val="12.0"/>
      </rPr>
      <t>VAMOS COMEÇAR?</t>
    </r>
    <r>
      <rPr>
        <rFont val="Roboto"/>
        <color theme="1"/>
        <sz val="12.0"/>
      </rPr>
      <t xml:space="preserve">
</t>
    </r>
  </si>
  <si>
    <t>NOME DA EMPRESA</t>
  </si>
  <si>
    <t>Cidade Alerta</t>
  </si>
  <si>
    <t>DATA DO PROJETO</t>
  </si>
  <si>
    <t>NOME DOS INTEGRANTES</t>
  </si>
  <si>
    <t>Ramon Vinicius do Nascimento Lucena-Caio Alex Donato Leitão-Jonatha Henrique Machado Espinoza</t>
  </si>
  <si>
    <t>Receita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</si>
  <si>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</si>
  <si>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</si>
  <si>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</si>
  <si>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</si>
  <si>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</si>
  <si>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</si>
  <si>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</si>
  <si>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</si>
  <si>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</si>
  <si>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</si>
  <si>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</si>
  <si>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</si>
  <si>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Anual</t>
  </si>
  <si>
    <t>Produto / Serviço 1</t>
  </si>
  <si>
    <t>Produto / Serviço 2</t>
  </si>
  <si>
    <t>Outras fontes de receita</t>
  </si>
  <si>
    <t>Receita Total</t>
  </si>
  <si>
    <t>Custos Fixos</t>
  </si>
  <si>
    <t>Àgua</t>
  </si>
  <si>
    <t>Energia elétrica</t>
  </si>
  <si>
    <t>Internet e Telefone</t>
  </si>
  <si>
    <t>Aluguel</t>
  </si>
  <si>
    <t>Deslocamento / Combustível</t>
  </si>
  <si>
    <t>Materiais de escritório</t>
  </si>
  <si>
    <t>Extras</t>
  </si>
  <si>
    <t>Fixo Total</t>
  </si>
  <si>
    <t>Colaboradores</t>
  </si>
  <si>
    <t>Colaborador 1</t>
  </si>
  <si>
    <t>Colaborador 2</t>
  </si>
  <si>
    <t>Colaborador 3</t>
  </si>
  <si>
    <t>Colaborador 4</t>
  </si>
  <si>
    <t>Colaborador Total</t>
  </si>
  <si>
    <t>Custos Variáveis</t>
  </si>
  <si>
    <t>Imposto (consolidado)</t>
  </si>
  <si>
    <t>DAS*</t>
  </si>
  <si>
    <t>Mão de obra terceirizada</t>
  </si>
  <si>
    <t>Variável Total</t>
  </si>
  <si>
    <t>Investimentos</t>
  </si>
  <si>
    <t>Computador</t>
  </si>
  <si>
    <t>Periféricos</t>
  </si>
  <si>
    <t>Mobiliário</t>
  </si>
  <si>
    <t>Investimento Total</t>
  </si>
  <si>
    <t>Saldo</t>
  </si>
  <si>
    <t>Saldo Total</t>
  </si>
  <si>
    <t>Lucro Líquido</t>
  </si>
  <si>
    <t>Lucro Líq. Anual</t>
  </si>
  <si>
    <t>Caixa Total</t>
  </si>
  <si>
    <t>Demonstrativo de Resultado</t>
  </si>
  <si>
    <t>Total</t>
  </si>
  <si>
    <t>Comparação</t>
  </si>
  <si>
    <t>Projeto 1</t>
  </si>
  <si>
    <t>Projeto 2</t>
  </si>
  <si>
    <t>IPTU</t>
  </si>
  <si>
    <t>DAS</t>
  </si>
  <si>
    <t>Variáveis Totais</t>
  </si>
  <si>
    <t>Margem de Contribuição</t>
  </si>
  <si>
    <t>Margem total</t>
  </si>
  <si>
    <t>Porcentagem</t>
  </si>
  <si>
    <t>Fixos Totais</t>
  </si>
  <si>
    <t>Resultado Operacional</t>
  </si>
  <si>
    <t>Resultado Total</t>
  </si>
  <si>
    <t>Custos Totais</t>
  </si>
  <si>
    <t xml:space="preserve"> Totais</t>
  </si>
  <si>
    <t>Ponto de Equilibrio Contábil</t>
  </si>
  <si>
    <t>Valor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</si>
</sst>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_-;\-* #,##0.00_-;_-* &quot;-&quot;??_-;_-@"/>
    <numFmt numFmtId="165" formatCode="&quot;R$&quot;\ #,##0.00"/>
    <numFmt numFmtId="166" formatCode="0.0%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1"/>
      <name val="Roboto"/>
    </font>
    <font>
      <b/>
      <sz val="11.0"/>
      <color theme="0"/>
      <name val="Roboto"/>
    </font>
    <font>
      <b/>
      <sz val="11.0"/>
      <color theme="1"/>
      <name val="Roboto"/>
    </font>
    <font/>
    <font>
      <sz val="11.0"/>
      <color theme="1"/>
      <name val="Roboto"/>
    </font>
    <font>
      <i/>
      <sz val="11.0"/>
      <color theme="1"/>
      <name val="Roboto"/>
    </font>
    <font>
      <i/>
      <sz val="10.0"/>
      <color theme="1"/>
      <name val="Roboto"/>
    </font>
    <font>
      <b/>
      <sz val="14.0"/>
      <color theme="1"/>
      <name val="Roboto"/>
    </font>
    <font>
      <b/>
      <sz val="14.0"/>
      <color rgb="FFFF3399"/>
      <name val="Roboto"/>
    </font>
    <font>
      <b/>
      <sz val="14.0"/>
      <color rgb="FFFF7C80"/>
      <name val="Roboto"/>
    </font>
    <font>
      <b/>
      <u/>
      <sz val="14.0"/>
      <color rgb="FFFF3399"/>
      <name val="Roboto"/>
    </font>
    <font>
      <b/>
      <sz val="11.0"/>
      <color rgb="FF0070C0"/>
      <name val="Roboto"/>
    </font>
    <font>
      <sz val="11.0"/>
      <color rgb="FF0070C0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F3399"/>
        <bgColor rgb="FFFF3399"/>
      </patternFill>
    </fill>
    <fill>
      <patternFill patternType="solid">
        <fgColor rgb="FFF2F2F2"/>
        <bgColor rgb="FFF2F2F2"/>
      </patternFill>
    </fill>
    <fill>
      <patternFill patternType="solid">
        <fgColor rgb="FFFDE7F4"/>
        <bgColor rgb="FFFDE7F4"/>
      </patternFill>
    </fill>
    <fill>
      <patternFill patternType="solid">
        <fgColor rgb="FF00B0F0"/>
        <bgColor rgb="FF00B0F0"/>
      </patternFill>
    </fill>
    <fill>
      <patternFill patternType="solid">
        <fgColor rgb="FFB8CCE4"/>
        <bgColor rgb="FFB8CCE4"/>
      </patternFill>
    </fill>
    <fill>
      <patternFill patternType="solid">
        <fgColor rgb="FF0070C0"/>
        <bgColor rgb="FF0070C0"/>
      </patternFill>
    </fill>
    <fill>
      <patternFill patternType="solid">
        <fgColor rgb="FFDBE5F1"/>
        <bgColor rgb="FFDBE5F1"/>
      </patternFill>
    </fill>
  </fills>
  <borders count="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1" fillId="2" fontId="3" numFmtId="0" xfId="0" applyAlignment="1" applyBorder="1" applyFill="1" applyFont="1">
      <alignment horizontal="left" shrinkToFit="0" vertical="center" wrapText="1"/>
    </xf>
    <xf borderId="2" fillId="3" fontId="4" numFmtId="0" xfId="0" applyAlignment="1" applyBorder="1" applyFill="1" applyFont="1">
      <alignment horizontal="left" readingOrder="0" vertical="center"/>
    </xf>
    <xf borderId="3" fillId="0" fontId="5" numFmtId="0" xfId="0" applyBorder="1" applyFont="1"/>
    <xf borderId="4" fillId="0" fontId="5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2" fillId="3" fontId="6" numFmtId="14" xfId="0" applyAlignment="1" applyBorder="1" applyFont="1" applyNumberFormat="1">
      <alignment horizontal="left" readingOrder="0" vertical="center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0" fontId="3" numFmtId="0" xfId="0" applyAlignment="1" applyFont="1">
      <alignment horizontal="center" shrinkToFit="0" vertical="center" wrapText="1"/>
    </xf>
    <xf borderId="0" fillId="0" fontId="6" numFmtId="14" xfId="0" applyAlignment="1" applyFont="1" applyNumberFormat="1">
      <alignment horizontal="left" vertical="center"/>
    </xf>
    <xf borderId="2" fillId="3" fontId="4" numFmtId="0" xfId="0" applyAlignment="1" applyBorder="1" applyFont="1">
      <alignment horizontal="center" readingOrder="0" vertical="center"/>
    </xf>
    <xf borderId="7" fillId="2" fontId="7" numFmtId="0" xfId="0" applyBorder="1" applyFont="1"/>
    <xf borderId="7" fillId="2" fontId="4" numFmtId="164" xfId="0" applyAlignment="1" applyBorder="1" applyFont="1" applyNumberFormat="1">
      <alignment horizontal="center"/>
    </xf>
    <xf borderId="7" fillId="0" fontId="6" numFmtId="164" xfId="0" applyBorder="1" applyFont="1" applyNumberFormat="1"/>
    <xf borderId="7" fillId="0" fontId="6" numFmtId="165" xfId="0" applyBorder="1" applyFont="1" applyNumberFormat="1"/>
    <xf borderId="7" fillId="4" fontId="4" numFmtId="164" xfId="0" applyBorder="1" applyFill="1" applyFont="1" applyNumberFormat="1"/>
    <xf borderId="7" fillId="4" fontId="6" numFmtId="165" xfId="0" applyBorder="1" applyFont="1" applyNumberFormat="1"/>
    <xf borderId="0" fillId="0" fontId="6" numFmtId="0" xfId="0" applyFont="1"/>
    <xf borderId="7" fillId="5" fontId="7" numFmtId="164" xfId="0" applyBorder="1" applyFill="1" applyFont="1" applyNumberFormat="1"/>
    <xf borderId="7" fillId="5" fontId="4" numFmtId="164" xfId="0" applyAlignment="1" applyBorder="1" applyFont="1" applyNumberFormat="1">
      <alignment horizontal="center"/>
    </xf>
    <xf borderId="7" fillId="0" fontId="6" numFmtId="165" xfId="0" applyAlignment="1" applyBorder="1" applyFont="1" applyNumberFormat="1">
      <alignment horizontal="right" readingOrder="0"/>
    </xf>
    <xf borderId="7" fillId="0" fontId="6" numFmtId="165" xfId="0" applyAlignment="1" applyBorder="1" applyFont="1" applyNumberFormat="1">
      <alignment horizontal="right"/>
    </xf>
    <xf borderId="7" fillId="6" fontId="4" numFmtId="164" xfId="0" applyBorder="1" applyFill="1" applyFont="1" applyNumberFormat="1"/>
    <xf borderId="7" fillId="6" fontId="6" numFmtId="165" xfId="0" applyBorder="1" applyFont="1" applyNumberFormat="1"/>
    <xf borderId="0" fillId="0" fontId="6" numFmtId="164" xfId="0" applyFont="1" applyNumberFormat="1"/>
    <xf borderId="7" fillId="5" fontId="8" numFmtId="164" xfId="0" applyBorder="1" applyFont="1" applyNumberFormat="1"/>
    <xf borderId="7" fillId="0" fontId="6" numFmtId="164" xfId="0" applyAlignment="1" applyBorder="1" applyFont="1" applyNumberFormat="1">
      <alignment horizontal="left"/>
    </xf>
    <xf borderId="7" fillId="0" fontId="4" numFmtId="164" xfId="0" applyBorder="1" applyFont="1" applyNumberFormat="1"/>
    <xf borderId="0" fillId="0" fontId="1" numFmtId="164" xfId="0" applyFont="1" applyNumberFormat="1"/>
    <xf borderId="7" fillId="2" fontId="6" numFmtId="0" xfId="0" applyBorder="1" applyFont="1"/>
    <xf borderId="7" fillId="0" fontId="4" numFmtId="0" xfId="0" applyBorder="1" applyFont="1"/>
    <xf borderId="2" fillId="5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Font="1"/>
    <xf borderId="0" fillId="0" fontId="11" numFmtId="0" xfId="0" applyFont="1"/>
    <xf borderId="0" fillId="0" fontId="12" numFmtId="0" xfId="0" applyAlignment="1" applyFont="1">
      <alignment horizontal="right"/>
    </xf>
    <xf borderId="0" fillId="0" fontId="6" numFmtId="4" xfId="0" applyFont="1" applyNumberFormat="1"/>
    <xf borderId="7" fillId="5" fontId="7" numFmtId="0" xfId="0" applyBorder="1" applyFont="1"/>
    <xf borderId="7" fillId="5" fontId="4" numFmtId="4" xfId="0" applyAlignment="1" applyBorder="1" applyFont="1" applyNumberFormat="1">
      <alignment horizontal="center"/>
    </xf>
    <xf borderId="7" fillId="7" fontId="3" numFmtId="4" xfId="0" applyAlignment="1" applyBorder="1" applyFill="1" applyFont="1" applyNumberFormat="1">
      <alignment horizontal="center"/>
    </xf>
    <xf borderId="7" fillId="7" fontId="3" numFmtId="0" xfId="0" applyAlignment="1" applyBorder="1" applyFont="1">
      <alignment horizontal="center"/>
    </xf>
    <xf borderId="7" fillId="0" fontId="6" numFmtId="166" xfId="0" applyBorder="1" applyFont="1" applyNumberFormat="1"/>
    <xf borderId="7" fillId="8" fontId="13" numFmtId="0" xfId="0" applyBorder="1" applyFill="1" applyFont="1"/>
    <xf borderId="7" fillId="8" fontId="14" numFmtId="165" xfId="0" applyAlignment="1" applyBorder="1" applyFont="1" applyNumberFormat="1">
      <alignment horizontal="right"/>
    </xf>
    <xf borderId="7" fillId="8" fontId="14" numFmtId="9" xfId="0" applyBorder="1" applyFont="1" applyNumberFormat="1"/>
    <xf borderId="0" fillId="0" fontId="4" numFmtId="0" xfId="0" applyFont="1"/>
    <xf borderId="0" fillId="0" fontId="6" numFmtId="4" xfId="0" applyAlignment="1" applyFont="1" applyNumberFormat="1">
      <alignment horizontal="right"/>
    </xf>
    <xf borderId="0" fillId="0" fontId="6" numFmtId="9" xfId="0" applyFont="1" applyNumberFormat="1"/>
    <xf borderId="7" fillId="8" fontId="4" numFmtId="0" xfId="0" applyBorder="1" applyFont="1"/>
    <xf borderId="7" fillId="8" fontId="6" numFmtId="165" xfId="0" applyBorder="1" applyFont="1" applyNumberFormat="1"/>
    <xf borderId="7" fillId="8" fontId="6" numFmtId="9" xfId="0" applyBorder="1" applyFont="1" applyNumberFormat="1"/>
    <xf borderId="7" fillId="0" fontId="6" numFmtId="10" xfId="0" applyBorder="1" applyFont="1" applyNumberFormat="1"/>
    <xf borderId="7" fillId="0" fontId="6" numFmtId="9" xfId="0" applyBorder="1" applyFont="1" applyNumberFormat="1"/>
    <xf borderId="7" fillId="0" fontId="6" numFmtId="0" xfId="0" applyBorder="1" applyFont="1"/>
    <xf borderId="7" fillId="8" fontId="6" numFmtId="4" xfId="0" applyBorder="1" applyFont="1" applyNumberFormat="1"/>
    <xf borderId="7" fillId="8" fontId="6" numFmtId="166" xfId="0" applyBorder="1" applyFont="1" applyNumberFormat="1"/>
    <xf borderId="0" fillId="0" fontId="6" numFmtId="10" xfId="0" applyFont="1" applyNumberFormat="1"/>
    <xf borderId="0" fillId="0" fontId="1" numFmtId="4" xfId="0" applyFont="1" applyNumberFormat="1"/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Análise de Vendas</a:t>
            </a:r>
          </a:p>
        </c:rich>
      </c:tx>
      <c:overlay val="0"/>
    </c:title>
    <c:plotArea>
      <c:layout>
        <c:manualLayout>
          <c:xMode val="edge"/>
          <c:yMode val="edge"/>
          <c:x val="0.15591556652433372"/>
          <c:y val="0.19174315075022402"/>
          <c:w val="0.8241839359632285"/>
          <c:h val="0.6700151527450822"/>
        </c:manualLayout>
      </c:layout>
      <c:lineChart>
        <c:ser>
          <c:idx val="0"/>
          <c:order val="0"/>
          <c:tx>
            <c:v>Receita</c:v>
          </c:tx>
          <c:spPr>
            <a:ln cmpd="sng">
              <a:solidFill>
                <a:srgbClr val="6D9EEB"/>
              </a:solidFill>
            </a:ln>
          </c:spPr>
          <c:marker>
            <c:symbol val="circle"/>
            <c:size val="7"/>
            <c:spPr>
              <a:solidFill>
                <a:srgbClr val="6D9EEB"/>
              </a:solidFill>
              <a:ln cmpd="sng">
                <a:solidFill>
                  <a:srgbClr val="6D9EEB"/>
                </a:solidFill>
              </a:ln>
            </c:spPr>
          </c:marker>
          <c:cat>
            <c:strRef>
              <c:f>RESULTADOS!$B$30:$M$30</c:f>
            </c:strRef>
          </c:cat>
          <c:val>
            <c:numRef>
              <c:f>RESULTADOS!$B$8:$M$8</c:f>
              <c:numCache/>
            </c:numRef>
          </c:val>
          <c:smooth val="0"/>
        </c:ser>
        <c:ser>
          <c:idx val="1"/>
          <c:order val="1"/>
          <c:tx>
            <c:v>Custos Totais</c:v>
          </c:tx>
          <c:spPr>
            <a:ln cmpd="sng">
              <a:solidFill>
                <a:srgbClr val="EA9999"/>
              </a:solidFill>
            </a:ln>
          </c:spPr>
          <c:marker>
            <c:symbol val="circle"/>
            <c:size val="7"/>
            <c:spPr>
              <a:solidFill>
                <a:srgbClr val="EA9999"/>
              </a:solidFill>
              <a:ln cmpd="sng">
                <a:solidFill>
                  <a:srgbClr val="EA9999"/>
                </a:solidFill>
              </a:ln>
            </c:spPr>
          </c:marker>
          <c:cat>
            <c:strRef>
              <c:f>RESULTADOS!$B$30:$M$30</c:f>
            </c:strRef>
          </c:cat>
          <c:val>
            <c:numRef>
              <c:f>RESULTADOS!$B$28:$M$28</c:f>
              <c:numCache/>
            </c:numRef>
          </c:val>
          <c:smooth val="0"/>
        </c:ser>
        <c:ser>
          <c:idx val="2"/>
          <c:order val="2"/>
          <c:tx>
            <c:v>Caixa</c:v>
          </c:tx>
          <c:spPr>
            <a:ln cmpd="sng">
              <a:solidFill>
                <a:srgbClr val="93C47D"/>
              </a:solidFill>
            </a:ln>
          </c:spPr>
          <c:marker>
            <c:symbol val="circle"/>
            <c:size val="7"/>
            <c:spPr>
              <a:solidFill>
                <a:srgbClr val="93C47D"/>
              </a:solidFill>
              <a:ln cmpd="sng">
                <a:solidFill>
                  <a:srgbClr val="93C47D"/>
                </a:solidFill>
              </a:ln>
            </c:spPr>
          </c:marker>
          <c:cat>
            <c:strRef>
              <c:f>RESULTADOS!$B$30:$M$30</c:f>
            </c:strRef>
          </c:cat>
          <c:val>
            <c:numRef>
              <c:f>'CUSTOS ANUAIS'!$B$48:$M$48</c:f>
              <c:numCache/>
            </c:numRef>
          </c:val>
          <c:smooth val="0"/>
        </c:ser>
        <c:axId val="158563337"/>
        <c:axId val="369134452"/>
      </c:lineChart>
      <c:catAx>
        <c:axId val="1585633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Meses</a:t>
                </a:r>
              </a:p>
            </c:rich>
          </c:tx>
          <c:layout>
            <c:manualLayout>
              <c:xMode val="edge"/>
              <c:yMode val="edge"/>
              <c:x val="0.47189211423198973"/>
              <c:y val="0.8994880536840112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 rot="-5400000"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369134452"/>
      </c:catAx>
      <c:valAx>
        <c:axId val="369134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Valorres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58563337"/>
      </c:valAx>
    </c:plotArea>
    <c:legend>
      <c:legendPos val="t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4787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695325</xdr:colOff>
      <xdr:row>32</xdr:row>
      <xdr:rowOff>161925</xdr:rowOff>
    </xdr:from>
    <xdr:ext cx="7658100" cy="3695700"/>
    <xdr:graphicFrame>
      <xdr:nvGraphicFramePr>
        <xdr:cNvPr id="20834163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3399"/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13" width="15.71"/>
    <col customWidth="1" min="14" max="14" width="17.43"/>
    <col customWidth="1" min="15" max="15" width="2.14"/>
    <col customWidth="1" min="16" max="26" width="8.71"/>
  </cols>
  <sheetData>
    <row r="1" ht="150.0" customHeight="1">
      <c r="A1" s="1"/>
    </row>
    <row r="2" ht="241.5" customHeight="1">
      <c r="A2" s="2" t="s">
        <v>0</v>
      </c>
    </row>
    <row r="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1.5" customHeight="1">
      <c r="A4" s="4" t="s">
        <v>1</v>
      </c>
      <c r="B4" s="5" t="s">
        <v>2</v>
      </c>
      <c r="C4" s="6"/>
      <c r="D4" s="6"/>
      <c r="E4" s="6"/>
      <c r="F4" s="6"/>
      <c r="G4" s="6"/>
      <c r="H4" s="6"/>
      <c r="I4" s="6"/>
      <c r="J4" s="7"/>
      <c r="K4" s="8" t="s">
        <v>3</v>
      </c>
      <c r="L4" s="9"/>
      <c r="M4" s="10">
        <v>46169.0</v>
      </c>
      <c r="N4" s="7"/>
    </row>
    <row r="5" ht="9.0" customHeight="1">
      <c r="A5" s="11"/>
      <c r="B5" s="12"/>
      <c r="C5" s="13"/>
      <c r="D5" s="13"/>
      <c r="E5" s="13"/>
      <c r="F5" s="13"/>
      <c r="G5" s="13"/>
      <c r="H5" s="13"/>
      <c r="I5" s="13"/>
      <c r="J5" s="13"/>
      <c r="K5" s="14"/>
      <c r="L5" s="14"/>
      <c r="M5" s="15"/>
      <c r="N5" s="15"/>
    </row>
    <row r="6" ht="31.5" customHeight="1">
      <c r="A6" s="4" t="s">
        <v>4</v>
      </c>
      <c r="B6" s="1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8">
      <c r="A8" s="17" t="s">
        <v>6</v>
      </c>
      <c r="B8" s="18" t="s">
        <v>7</v>
      </c>
      <c r="C8" s="18" t="s">
        <v>8</v>
      </c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18" t="s">
        <v>14</v>
      </c>
      <c r="J8" s="18" t="s">
        <v>15</v>
      </c>
      <c r="K8" s="18" t="s">
        <v>16</v>
      </c>
      <c r="L8" s="18" t="s">
        <v>17</v>
      </c>
      <c r="M8" s="18" t="s">
        <v>18</v>
      </c>
      <c r="N8" s="18" t="s">
        <v>19</v>
      </c>
    </row>
    <row r="9">
      <c r="A9" s="19" t="s">
        <v>20</v>
      </c>
      <c r="B9" s="20">
        <v>0.0</v>
      </c>
      <c r="C9" s="20">
        <v>0.0</v>
      </c>
      <c r="D9" s="20">
        <v>0.0</v>
      </c>
      <c r="E9" s="20">
        <v>0.0</v>
      </c>
      <c r="F9" s="20">
        <v>0.0</v>
      </c>
      <c r="G9" s="20">
        <v>0.0</v>
      </c>
      <c r="H9" s="20">
        <v>0.0</v>
      </c>
      <c r="I9" s="20">
        <v>0.0</v>
      </c>
      <c r="J9" s="20">
        <v>0.0</v>
      </c>
      <c r="K9" s="20">
        <v>0.0</v>
      </c>
      <c r="L9" s="20">
        <v>0.0</v>
      </c>
      <c r="M9" s="20">
        <v>0.0</v>
      </c>
      <c r="N9" s="20">
        <f t="shared" ref="N9:N12" si="1">SUM(B9:M9)</f>
        <v>0</v>
      </c>
    </row>
    <row r="10">
      <c r="A10" s="19" t="s">
        <v>21</v>
      </c>
      <c r="B10" s="20">
        <v>0.0</v>
      </c>
      <c r="C10" s="20">
        <v>0.0</v>
      </c>
      <c r="D10" s="20">
        <v>0.0</v>
      </c>
      <c r="E10" s="20">
        <v>0.0</v>
      </c>
      <c r="F10" s="20">
        <v>0.0</v>
      </c>
      <c r="G10" s="20">
        <v>0.0</v>
      </c>
      <c r="H10" s="20">
        <v>0.0</v>
      </c>
      <c r="I10" s="20">
        <v>0.0</v>
      </c>
      <c r="J10" s="20">
        <v>0.0</v>
      </c>
      <c r="K10" s="20">
        <v>0.0</v>
      </c>
      <c r="L10" s="20">
        <v>0.0</v>
      </c>
      <c r="M10" s="20">
        <v>0.0</v>
      </c>
      <c r="N10" s="20">
        <f t="shared" si="1"/>
        <v>0</v>
      </c>
    </row>
    <row r="11">
      <c r="A11" s="19" t="s">
        <v>22</v>
      </c>
      <c r="B11" s="20">
        <v>0.0</v>
      </c>
      <c r="C11" s="20">
        <v>0.0</v>
      </c>
      <c r="D11" s="20">
        <v>0.0</v>
      </c>
      <c r="E11" s="20">
        <v>0.0</v>
      </c>
      <c r="F11" s="20">
        <v>0.0</v>
      </c>
      <c r="G11" s="20">
        <v>0.0</v>
      </c>
      <c r="H11" s="20">
        <v>0.0</v>
      </c>
      <c r="I11" s="20">
        <v>0.0</v>
      </c>
      <c r="J11" s="20">
        <v>0.0</v>
      </c>
      <c r="K11" s="20">
        <v>0.0</v>
      </c>
      <c r="L11" s="20">
        <v>0.0</v>
      </c>
      <c r="M11" s="20">
        <v>0.0</v>
      </c>
      <c r="N11" s="20">
        <f t="shared" si="1"/>
        <v>0</v>
      </c>
    </row>
    <row r="12">
      <c r="A12" s="21" t="s">
        <v>23</v>
      </c>
      <c r="B12" s="22">
        <f t="shared" ref="B12:M12" si="2">SUM(B9:B11)</f>
        <v>0</v>
      </c>
      <c r="C12" s="22">
        <f t="shared" si="2"/>
        <v>0</v>
      </c>
      <c r="D12" s="22">
        <f t="shared" si="2"/>
        <v>0</v>
      </c>
      <c r="E12" s="22">
        <f t="shared" si="2"/>
        <v>0</v>
      </c>
      <c r="F12" s="22">
        <f t="shared" si="2"/>
        <v>0</v>
      </c>
      <c r="G12" s="22">
        <f t="shared" si="2"/>
        <v>0</v>
      </c>
      <c r="H12" s="22">
        <f t="shared" si="2"/>
        <v>0</v>
      </c>
      <c r="I12" s="22">
        <f t="shared" si="2"/>
        <v>0</v>
      </c>
      <c r="J12" s="22">
        <f t="shared" si="2"/>
        <v>0</v>
      </c>
      <c r="K12" s="22">
        <f t="shared" si="2"/>
        <v>0</v>
      </c>
      <c r="L12" s="22">
        <f t="shared" si="2"/>
        <v>0</v>
      </c>
      <c r="M12" s="22">
        <f t="shared" si="2"/>
        <v>0</v>
      </c>
      <c r="N12" s="22">
        <f t="shared" si="1"/>
        <v>0</v>
      </c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</row>
    <row r="14">
      <c r="A14" s="24" t="s">
        <v>24</v>
      </c>
      <c r="B14" s="25" t="s">
        <v>7</v>
      </c>
      <c r="C14" s="25" t="s">
        <v>8</v>
      </c>
      <c r="D14" s="25" t="s">
        <v>9</v>
      </c>
      <c r="E14" s="25" t="s">
        <v>10</v>
      </c>
      <c r="F14" s="25" t="s">
        <v>11</v>
      </c>
      <c r="G14" s="25" t="s">
        <v>12</v>
      </c>
      <c r="H14" s="25" t="s">
        <v>13</v>
      </c>
      <c r="I14" s="25" t="s">
        <v>14</v>
      </c>
      <c r="J14" s="25" t="s">
        <v>15</v>
      </c>
      <c r="K14" s="25" t="s">
        <v>16</v>
      </c>
      <c r="L14" s="25" t="s">
        <v>17</v>
      </c>
      <c r="M14" s="25" t="s">
        <v>18</v>
      </c>
      <c r="N14" s="25" t="s">
        <v>19</v>
      </c>
    </row>
    <row r="15">
      <c r="A15" s="19" t="s">
        <v>25</v>
      </c>
      <c r="B15" s="26">
        <v>30.0</v>
      </c>
      <c r="C15" s="26">
        <v>30.0</v>
      </c>
      <c r="D15" s="26">
        <v>30.0</v>
      </c>
      <c r="E15" s="26">
        <v>30.0</v>
      </c>
      <c r="F15" s="26">
        <v>30.0</v>
      </c>
      <c r="G15" s="26">
        <v>30.0</v>
      </c>
      <c r="H15" s="26">
        <v>30.0</v>
      </c>
      <c r="I15" s="26">
        <v>30.0</v>
      </c>
      <c r="J15" s="26">
        <v>30.0</v>
      </c>
      <c r="K15" s="26">
        <v>30.0</v>
      </c>
      <c r="L15" s="26">
        <v>30.0</v>
      </c>
      <c r="M15" s="26">
        <v>30.0</v>
      </c>
      <c r="N15" s="20">
        <f t="shared" ref="N15:N22" si="3">SUM(B15:M15)</f>
        <v>360</v>
      </c>
    </row>
    <row r="16">
      <c r="A16" s="19" t="s">
        <v>26</v>
      </c>
      <c r="B16" s="26">
        <v>150.0</v>
      </c>
      <c r="C16" s="26">
        <v>150.0</v>
      </c>
      <c r="D16" s="26">
        <v>150.0</v>
      </c>
      <c r="E16" s="26">
        <v>150.0</v>
      </c>
      <c r="F16" s="26">
        <v>150.0</v>
      </c>
      <c r="G16" s="26">
        <v>150.0</v>
      </c>
      <c r="H16" s="26">
        <v>150.0</v>
      </c>
      <c r="I16" s="26">
        <v>150.0</v>
      </c>
      <c r="J16" s="26">
        <v>150.0</v>
      </c>
      <c r="K16" s="26">
        <v>150.0</v>
      </c>
      <c r="L16" s="26">
        <v>150.0</v>
      </c>
      <c r="M16" s="26">
        <v>150.0</v>
      </c>
      <c r="N16" s="20">
        <f t="shared" si="3"/>
        <v>1800</v>
      </c>
    </row>
    <row r="17">
      <c r="A17" s="19" t="s">
        <v>27</v>
      </c>
      <c r="B17" s="26">
        <v>60.0</v>
      </c>
      <c r="C17" s="26">
        <v>60.0</v>
      </c>
      <c r="D17" s="26">
        <v>60.0</v>
      </c>
      <c r="E17" s="26">
        <v>60.0</v>
      </c>
      <c r="F17" s="26">
        <v>60.0</v>
      </c>
      <c r="G17" s="26">
        <v>60.0</v>
      </c>
      <c r="H17" s="26">
        <v>60.0</v>
      </c>
      <c r="I17" s="26">
        <v>60.0</v>
      </c>
      <c r="J17" s="26">
        <v>60.0</v>
      </c>
      <c r="K17" s="26">
        <v>60.0</v>
      </c>
      <c r="L17" s="26">
        <v>60.0</v>
      </c>
      <c r="M17" s="26">
        <v>60.0</v>
      </c>
      <c r="N17" s="20">
        <f t="shared" si="3"/>
        <v>720</v>
      </c>
    </row>
    <row r="18">
      <c r="A18" s="19" t="s">
        <v>28</v>
      </c>
      <c r="B18" s="27">
        <v>0.0</v>
      </c>
      <c r="C18" s="27">
        <v>0.0</v>
      </c>
      <c r="D18" s="27">
        <v>0.0</v>
      </c>
      <c r="E18" s="27">
        <v>0.0</v>
      </c>
      <c r="F18" s="27">
        <v>0.0</v>
      </c>
      <c r="G18" s="27">
        <v>0.0</v>
      </c>
      <c r="H18" s="27">
        <v>0.0</v>
      </c>
      <c r="I18" s="27">
        <v>0.0</v>
      </c>
      <c r="J18" s="27">
        <v>0.0</v>
      </c>
      <c r="K18" s="27">
        <v>0.0</v>
      </c>
      <c r="L18" s="27">
        <v>0.0</v>
      </c>
      <c r="M18" s="27">
        <v>0.0</v>
      </c>
      <c r="N18" s="20">
        <f t="shared" si="3"/>
        <v>0</v>
      </c>
    </row>
    <row r="19">
      <c r="A19" s="19" t="s">
        <v>29</v>
      </c>
      <c r="B19" s="27">
        <v>0.0</v>
      </c>
      <c r="C19" s="27">
        <v>0.0</v>
      </c>
      <c r="D19" s="27">
        <v>0.0</v>
      </c>
      <c r="E19" s="27">
        <v>0.0</v>
      </c>
      <c r="F19" s="27">
        <v>0.0</v>
      </c>
      <c r="G19" s="27">
        <v>0.0</v>
      </c>
      <c r="H19" s="27">
        <v>0.0</v>
      </c>
      <c r="I19" s="27">
        <v>0.0</v>
      </c>
      <c r="J19" s="27">
        <v>0.0</v>
      </c>
      <c r="K19" s="27">
        <v>0.0</v>
      </c>
      <c r="L19" s="27">
        <v>0.0</v>
      </c>
      <c r="M19" s="27">
        <v>0.0</v>
      </c>
      <c r="N19" s="20">
        <f t="shared" si="3"/>
        <v>0</v>
      </c>
    </row>
    <row r="20">
      <c r="A20" s="19" t="s">
        <v>30</v>
      </c>
      <c r="B20" s="27">
        <v>0.0</v>
      </c>
      <c r="C20" s="27">
        <v>0.0</v>
      </c>
      <c r="D20" s="27">
        <v>0.0</v>
      </c>
      <c r="E20" s="27">
        <v>0.0</v>
      </c>
      <c r="F20" s="27">
        <v>0.0</v>
      </c>
      <c r="G20" s="27">
        <v>0.0</v>
      </c>
      <c r="H20" s="27">
        <v>0.0</v>
      </c>
      <c r="I20" s="27">
        <v>0.0</v>
      </c>
      <c r="J20" s="27">
        <v>0.0</v>
      </c>
      <c r="K20" s="27">
        <v>0.0</v>
      </c>
      <c r="L20" s="27">
        <v>0.0</v>
      </c>
      <c r="M20" s="27">
        <v>0.0</v>
      </c>
      <c r="N20" s="20">
        <f t="shared" si="3"/>
        <v>0</v>
      </c>
    </row>
    <row r="21">
      <c r="A21" s="19" t="s">
        <v>31</v>
      </c>
      <c r="B21" s="27">
        <v>0.0</v>
      </c>
      <c r="C21" s="27">
        <v>0.0</v>
      </c>
      <c r="D21" s="27">
        <v>0.0</v>
      </c>
      <c r="E21" s="27">
        <v>0.0</v>
      </c>
      <c r="F21" s="27">
        <v>0.0</v>
      </c>
      <c r="G21" s="27">
        <v>0.0</v>
      </c>
      <c r="H21" s="27">
        <v>0.0</v>
      </c>
      <c r="I21" s="27">
        <v>0.0</v>
      </c>
      <c r="J21" s="27">
        <v>0.0</v>
      </c>
      <c r="K21" s="27">
        <v>0.0</v>
      </c>
      <c r="L21" s="27">
        <v>0.0</v>
      </c>
      <c r="M21" s="27">
        <v>0.0</v>
      </c>
      <c r="N21" s="20">
        <f t="shared" si="3"/>
        <v>0</v>
      </c>
    </row>
    <row r="22" ht="15.75" customHeight="1">
      <c r="A22" s="28" t="s">
        <v>32</v>
      </c>
      <c r="B22" s="29">
        <f t="shared" ref="B22:M22" si="4">SUM(B15:B21)</f>
        <v>240</v>
      </c>
      <c r="C22" s="29">
        <f t="shared" si="4"/>
        <v>240</v>
      </c>
      <c r="D22" s="29">
        <f t="shared" si="4"/>
        <v>240</v>
      </c>
      <c r="E22" s="29">
        <f t="shared" si="4"/>
        <v>240</v>
      </c>
      <c r="F22" s="29">
        <f t="shared" si="4"/>
        <v>240</v>
      </c>
      <c r="G22" s="29">
        <f t="shared" si="4"/>
        <v>240</v>
      </c>
      <c r="H22" s="29">
        <f t="shared" si="4"/>
        <v>240</v>
      </c>
      <c r="I22" s="29">
        <f t="shared" si="4"/>
        <v>240</v>
      </c>
      <c r="J22" s="29">
        <f t="shared" si="4"/>
        <v>240</v>
      </c>
      <c r="K22" s="29">
        <f t="shared" si="4"/>
        <v>240</v>
      </c>
      <c r="L22" s="29">
        <f t="shared" si="4"/>
        <v>240</v>
      </c>
      <c r="M22" s="29">
        <f t="shared" si="4"/>
        <v>240</v>
      </c>
      <c r="N22" s="29">
        <f t="shared" si="3"/>
        <v>2880</v>
      </c>
    </row>
    <row r="23" ht="15.75" customHeight="1">
      <c r="A23" s="23"/>
      <c r="B23" s="23"/>
      <c r="C23" s="23"/>
      <c r="D23" s="23"/>
      <c r="E23" s="23"/>
      <c r="F23" s="23"/>
      <c r="G23" s="30"/>
      <c r="H23" s="23"/>
      <c r="I23" s="23"/>
      <c r="J23" s="23"/>
      <c r="K23" s="23"/>
      <c r="L23" s="23"/>
      <c r="M23" s="23"/>
      <c r="N23" s="23"/>
    </row>
    <row r="24" ht="15.75" customHeight="1">
      <c r="A24" s="31" t="s">
        <v>33</v>
      </c>
      <c r="B24" s="25" t="s">
        <v>7</v>
      </c>
      <c r="C24" s="25" t="s">
        <v>8</v>
      </c>
      <c r="D24" s="25" t="s">
        <v>9</v>
      </c>
      <c r="E24" s="25" t="s">
        <v>10</v>
      </c>
      <c r="F24" s="25" t="s">
        <v>11</v>
      </c>
      <c r="G24" s="25" t="s">
        <v>12</v>
      </c>
      <c r="H24" s="25" t="s">
        <v>13</v>
      </c>
      <c r="I24" s="25" t="s">
        <v>14</v>
      </c>
      <c r="J24" s="25" t="s">
        <v>15</v>
      </c>
      <c r="K24" s="25" t="s">
        <v>16</v>
      </c>
      <c r="L24" s="25" t="s">
        <v>17</v>
      </c>
      <c r="M24" s="25" t="s">
        <v>18</v>
      </c>
      <c r="N24" s="25" t="s">
        <v>19</v>
      </c>
    </row>
    <row r="25" ht="15.75" customHeight="1">
      <c r="A25" s="19" t="s">
        <v>34</v>
      </c>
      <c r="B25" s="26">
        <v>1590.0</v>
      </c>
      <c r="C25" s="26">
        <v>1590.0</v>
      </c>
      <c r="D25" s="26">
        <v>1590.0</v>
      </c>
      <c r="E25" s="26">
        <v>1590.0</v>
      </c>
      <c r="F25" s="26">
        <v>1590.0</v>
      </c>
      <c r="G25" s="26">
        <v>1590.0</v>
      </c>
      <c r="H25" s="26">
        <v>1590.0</v>
      </c>
      <c r="I25" s="26">
        <v>1590.0</v>
      </c>
      <c r="J25" s="26">
        <v>1590.0</v>
      </c>
      <c r="K25" s="26">
        <v>1590.0</v>
      </c>
      <c r="L25" s="26">
        <v>1590.0</v>
      </c>
      <c r="M25" s="26">
        <v>1590.0</v>
      </c>
      <c r="N25" s="20">
        <f t="shared" ref="N25:N28" si="5">SUM(B25:M25)</f>
        <v>19080</v>
      </c>
    </row>
    <row r="26" ht="15.75" customHeight="1">
      <c r="A26" s="19" t="s">
        <v>35</v>
      </c>
      <c r="B26" s="26">
        <v>1590.0</v>
      </c>
      <c r="C26" s="26">
        <v>1590.0</v>
      </c>
      <c r="D26" s="26">
        <v>1590.0</v>
      </c>
      <c r="E26" s="26">
        <v>1590.0</v>
      </c>
      <c r="F26" s="26">
        <v>1590.0</v>
      </c>
      <c r="G26" s="26">
        <v>1590.0</v>
      </c>
      <c r="H26" s="26">
        <v>1590.0</v>
      </c>
      <c r="I26" s="26">
        <v>1590.0</v>
      </c>
      <c r="J26" s="26">
        <v>1590.0</v>
      </c>
      <c r="K26" s="26">
        <v>1590.0</v>
      </c>
      <c r="L26" s="26">
        <v>1590.0</v>
      </c>
      <c r="M26" s="26">
        <v>1590.0</v>
      </c>
      <c r="N26" s="20">
        <f t="shared" si="5"/>
        <v>19080</v>
      </c>
    </row>
    <row r="27" ht="15.75" customHeight="1">
      <c r="A27" s="19" t="s">
        <v>36</v>
      </c>
      <c r="B27" s="26">
        <v>1590.0</v>
      </c>
      <c r="C27" s="26">
        <v>1590.0</v>
      </c>
      <c r="D27" s="26">
        <v>1590.0</v>
      </c>
      <c r="E27" s="26">
        <v>1590.0</v>
      </c>
      <c r="F27" s="26">
        <v>1590.0</v>
      </c>
      <c r="G27" s="26">
        <v>1590.0</v>
      </c>
      <c r="H27" s="26">
        <v>1590.0</v>
      </c>
      <c r="I27" s="26">
        <v>1590.0</v>
      </c>
      <c r="J27" s="26">
        <v>1590.0</v>
      </c>
      <c r="K27" s="26">
        <v>1590.0</v>
      </c>
      <c r="L27" s="26">
        <v>1590.0</v>
      </c>
      <c r="M27" s="26">
        <v>1590.0</v>
      </c>
      <c r="N27" s="20">
        <f t="shared" si="5"/>
        <v>19080</v>
      </c>
    </row>
    <row r="28" ht="15.75" customHeight="1">
      <c r="A28" s="19" t="s">
        <v>37</v>
      </c>
      <c r="B28" s="27">
        <v>0.0</v>
      </c>
      <c r="C28" s="27">
        <v>0.0</v>
      </c>
      <c r="D28" s="27">
        <v>0.0</v>
      </c>
      <c r="E28" s="27">
        <v>0.0</v>
      </c>
      <c r="F28" s="27">
        <v>0.0</v>
      </c>
      <c r="G28" s="27">
        <v>0.0</v>
      </c>
      <c r="H28" s="27">
        <v>0.0</v>
      </c>
      <c r="I28" s="27">
        <v>0.0</v>
      </c>
      <c r="J28" s="27">
        <v>0.0</v>
      </c>
      <c r="K28" s="27">
        <v>0.0</v>
      </c>
      <c r="L28" s="27">
        <v>0.0</v>
      </c>
      <c r="M28" s="27">
        <v>0.0</v>
      </c>
      <c r="N28" s="20">
        <f t="shared" si="5"/>
        <v>0</v>
      </c>
    </row>
    <row r="29" ht="15.75" customHeight="1">
      <c r="A29" s="28" t="s">
        <v>38</v>
      </c>
      <c r="B29" s="29">
        <f t="shared" ref="B29:N29" si="6">SUM(B25:B28)</f>
        <v>4770</v>
      </c>
      <c r="C29" s="29">
        <f t="shared" si="6"/>
        <v>4770</v>
      </c>
      <c r="D29" s="29">
        <f t="shared" si="6"/>
        <v>4770</v>
      </c>
      <c r="E29" s="29">
        <f t="shared" si="6"/>
        <v>4770</v>
      </c>
      <c r="F29" s="29">
        <f t="shared" si="6"/>
        <v>4770</v>
      </c>
      <c r="G29" s="29">
        <f t="shared" si="6"/>
        <v>4770</v>
      </c>
      <c r="H29" s="29">
        <f t="shared" si="6"/>
        <v>4770</v>
      </c>
      <c r="I29" s="29">
        <f t="shared" si="6"/>
        <v>4770</v>
      </c>
      <c r="J29" s="29">
        <f t="shared" si="6"/>
        <v>4770</v>
      </c>
      <c r="K29" s="29">
        <f t="shared" si="6"/>
        <v>4770</v>
      </c>
      <c r="L29" s="29">
        <f t="shared" si="6"/>
        <v>4770</v>
      </c>
      <c r="M29" s="29">
        <f t="shared" si="6"/>
        <v>4770</v>
      </c>
      <c r="N29" s="29">
        <f t="shared" si="6"/>
        <v>57240</v>
      </c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ht="15.75" customHeight="1">
      <c r="A31" s="31" t="s">
        <v>39</v>
      </c>
      <c r="B31" s="25" t="s">
        <v>7</v>
      </c>
      <c r="C31" s="25" t="s">
        <v>8</v>
      </c>
      <c r="D31" s="25" t="s">
        <v>9</v>
      </c>
      <c r="E31" s="25" t="s">
        <v>10</v>
      </c>
      <c r="F31" s="25" t="s">
        <v>11</v>
      </c>
      <c r="G31" s="25" t="s">
        <v>12</v>
      </c>
      <c r="H31" s="25" t="s">
        <v>13</v>
      </c>
      <c r="I31" s="25" t="s">
        <v>14</v>
      </c>
      <c r="J31" s="25" t="s">
        <v>15</v>
      </c>
      <c r="K31" s="25" t="s">
        <v>16</v>
      </c>
      <c r="L31" s="25" t="s">
        <v>17</v>
      </c>
      <c r="M31" s="25" t="s">
        <v>18</v>
      </c>
      <c r="N31" s="25" t="s">
        <v>19</v>
      </c>
    </row>
    <row r="32" ht="15.75" customHeight="1">
      <c r="A32" s="19" t="s">
        <v>40</v>
      </c>
      <c r="B32" s="27">
        <v>0.0</v>
      </c>
      <c r="C32" s="27">
        <v>0.0</v>
      </c>
      <c r="D32" s="27">
        <v>0.0</v>
      </c>
      <c r="E32" s="27">
        <v>0.0</v>
      </c>
      <c r="F32" s="27">
        <v>0.0</v>
      </c>
      <c r="G32" s="27">
        <v>0.0</v>
      </c>
      <c r="H32" s="27">
        <v>0.0</v>
      </c>
      <c r="I32" s="27">
        <v>0.0</v>
      </c>
      <c r="J32" s="27">
        <v>0.0</v>
      </c>
      <c r="K32" s="27">
        <v>0.0</v>
      </c>
      <c r="L32" s="27">
        <v>0.0</v>
      </c>
      <c r="M32" s="27">
        <v>0.0</v>
      </c>
      <c r="N32" s="20">
        <f t="shared" ref="N32:N35" si="7">SUM(B32:M32)</f>
        <v>0</v>
      </c>
    </row>
    <row r="33" ht="15.75" customHeight="1">
      <c r="A33" s="19" t="s">
        <v>41</v>
      </c>
      <c r="B33" s="27">
        <v>0.0</v>
      </c>
      <c r="C33" s="27">
        <v>0.0</v>
      </c>
      <c r="D33" s="27">
        <v>0.0</v>
      </c>
      <c r="E33" s="27">
        <v>0.0</v>
      </c>
      <c r="F33" s="27">
        <v>0.0</v>
      </c>
      <c r="G33" s="27">
        <v>0.0</v>
      </c>
      <c r="H33" s="27">
        <v>0.0</v>
      </c>
      <c r="I33" s="27">
        <v>0.0</v>
      </c>
      <c r="J33" s="27">
        <v>0.0</v>
      </c>
      <c r="K33" s="27">
        <v>0.0</v>
      </c>
      <c r="L33" s="27">
        <v>0.0</v>
      </c>
      <c r="M33" s="27">
        <v>0.0</v>
      </c>
      <c r="N33" s="20">
        <f t="shared" si="7"/>
        <v>0</v>
      </c>
    </row>
    <row r="34" ht="15.75" customHeight="1">
      <c r="A34" s="19" t="s">
        <v>42</v>
      </c>
      <c r="B34" s="27">
        <v>0.0</v>
      </c>
      <c r="C34" s="27">
        <v>0.0</v>
      </c>
      <c r="D34" s="27">
        <v>0.0</v>
      </c>
      <c r="E34" s="27">
        <v>0.0</v>
      </c>
      <c r="F34" s="27">
        <v>0.0</v>
      </c>
      <c r="G34" s="27">
        <v>0.0</v>
      </c>
      <c r="H34" s="27">
        <v>0.0</v>
      </c>
      <c r="I34" s="27">
        <v>0.0</v>
      </c>
      <c r="J34" s="27">
        <v>0.0</v>
      </c>
      <c r="K34" s="27">
        <v>0.0</v>
      </c>
      <c r="L34" s="27">
        <v>0.0</v>
      </c>
      <c r="M34" s="27">
        <v>0.0</v>
      </c>
      <c r="N34" s="20">
        <f t="shared" si="7"/>
        <v>0</v>
      </c>
    </row>
    <row r="35" ht="15.75" customHeight="1">
      <c r="A35" s="28" t="s">
        <v>43</v>
      </c>
      <c r="B35" s="29">
        <f t="shared" ref="B35:M35" si="8">SUM(B32:B34)</f>
        <v>0</v>
      </c>
      <c r="C35" s="29">
        <f t="shared" si="8"/>
        <v>0</v>
      </c>
      <c r="D35" s="29">
        <f t="shared" si="8"/>
        <v>0</v>
      </c>
      <c r="E35" s="29">
        <f t="shared" si="8"/>
        <v>0</v>
      </c>
      <c r="F35" s="29">
        <f t="shared" si="8"/>
        <v>0</v>
      </c>
      <c r="G35" s="29">
        <f t="shared" si="8"/>
        <v>0</v>
      </c>
      <c r="H35" s="29">
        <f t="shared" si="8"/>
        <v>0</v>
      </c>
      <c r="I35" s="29">
        <f t="shared" si="8"/>
        <v>0</v>
      </c>
      <c r="J35" s="29">
        <f t="shared" si="8"/>
        <v>0</v>
      </c>
      <c r="K35" s="29">
        <f t="shared" si="8"/>
        <v>0</v>
      </c>
      <c r="L35" s="29">
        <f t="shared" si="8"/>
        <v>0</v>
      </c>
      <c r="M35" s="29">
        <f t="shared" si="8"/>
        <v>0</v>
      </c>
      <c r="N35" s="29">
        <f t="shared" si="7"/>
        <v>0</v>
      </c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</row>
    <row r="37" ht="15.75" customHeight="1">
      <c r="A37" s="24" t="s">
        <v>44</v>
      </c>
      <c r="B37" s="25" t="s">
        <v>7</v>
      </c>
      <c r="C37" s="25" t="s">
        <v>8</v>
      </c>
      <c r="D37" s="25" t="s">
        <v>9</v>
      </c>
      <c r="E37" s="25" t="s">
        <v>10</v>
      </c>
      <c r="F37" s="25" t="s">
        <v>11</v>
      </c>
      <c r="G37" s="25" t="s">
        <v>12</v>
      </c>
      <c r="H37" s="25" t="s">
        <v>13</v>
      </c>
      <c r="I37" s="25" t="s">
        <v>14</v>
      </c>
      <c r="J37" s="25" t="s">
        <v>15</v>
      </c>
      <c r="K37" s="25" t="s">
        <v>16</v>
      </c>
      <c r="L37" s="25" t="s">
        <v>17</v>
      </c>
      <c r="M37" s="25" t="s">
        <v>18</v>
      </c>
      <c r="N37" s="25" t="s">
        <v>19</v>
      </c>
    </row>
    <row r="38" ht="15.75" customHeight="1">
      <c r="A38" s="32" t="s">
        <v>45</v>
      </c>
      <c r="B38" s="26">
        <v>4000.0</v>
      </c>
      <c r="C38" s="27">
        <v>0.0</v>
      </c>
      <c r="D38" s="27">
        <v>0.0</v>
      </c>
      <c r="E38" s="27">
        <v>0.0</v>
      </c>
      <c r="F38" s="27">
        <v>0.0</v>
      </c>
      <c r="G38" s="27">
        <v>0.0</v>
      </c>
      <c r="H38" s="27">
        <v>0.0</v>
      </c>
      <c r="I38" s="27">
        <v>0.0</v>
      </c>
      <c r="J38" s="27">
        <v>0.0</v>
      </c>
      <c r="K38" s="27">
        <v>0.0</v>
      </c>
      <c r="L38" s="27">
        <v>0.0</v>
      </c>
      <c r="M38" s="27">
        <v>0.0</v>
      </c>
      <c r="N38" s="20">
        <f t="shared" ref="N38:N42" si="9">SUM(B38:M38)</f>
        <v>4000</v>
      </c>
    </row>
    <row r="39" ht="15.75" customHeight="1">
      <c r="A39" s="19" t="s">
        <v>46</v>
      </c>
      <c r="B39" s="26">
        <v>100.0</v>
      </c>
      <c r="C39" s="27">
        <v>0.0</v>
      </c>
      <c r="D39" s="27">
        <v>0.0</v>
      </c>
      <c r="E39" s="27">
        <v>0.0</v>
      </c>
      <c r="F39" s="27">
        <v>0.0</v>
      </c>
      <c r="G39" s="27">
        <v>0.0</v>
      </c>
      <c r="H39" s="27">
        <v>0.0</v>
      </c>
      <c r="I39" s="27">
        <v>0.0</v>
      </c>
      <c r="J39" s="27">
        <v>0.0</v>
      </c>
      <c r="K39" s="27">
        <v>0.0</v>
      </c>
      <c r="L39" s="27">
        <v>0.0</v>
      </c>
      <c r="M39" s="27">
        <v>0.0</v>
      </c>
      <c r="N39" s="20">
        <f t="shared" si="9"/>
        <v>100</v>
      </c>
    </row>
    <row r="40" ht="15.75" customHeight="1">
      <c r="A40" s="19" t="s">
        <v>47</v>
      </c>
      <c r="B40" s="27">
        <v>0.0</v>
      </c>
      <c r="C40" s="27">
        <v>0.0</v>
      </c>
      <c r="D40" s="27">
        <v>0.0</v>
      </c>
      <c r="E40" s="27">
        <v>0.0</v>
      </c>
      <c r="F40" s="27">
        <v>0.0</v>
      </c>
      <c r="G40" s="27">
        <v>0.0</v>
      </c>
      <c r="H40" s="27">
        <v>0.0</v>
      </c>
      <c r="I40" s="27">
        <v>0.0</v>
      </c>
      <c r="J40" s="27">
        <v>0.0</v>
      </c>
      <c r="K40" s="27">
        <v>0.0</v>
      </c>
      <c r="L40" s="27">
        <v>0.0</v>
      </c>
      <c r="M40" s="27">
        <v>0.0</v>
      </c>
      <c r="N40" s="20">
        <f t="shared" si="9"/>
        <v>0</v>
      </c>
    </row>
    <row r="41" ht="15.75" customHeight="1">
      <c r="A41" s="19" t="s">
        <v>31</v>
      </c>
      <c r="B41" s="27">
        <v>0.0</v>
      </c>
      <c r="C41" s="27">
        <v>0.0</v>
      </c>
      <c r="D41" s="27">
        <v>0.0</v>
      </c>
      <c r="E41" s="27">
        <v>0.0</v>
      </c>
      <c r="F41" s="27">
        <v>0.0</v>
      </c>
      <c r="G41" s="27">
        <v>0.0</v>
      </c>
      <c r="H41" s="27">
        <v>0.0</v>
      </c>
      <c r="I41" s="27">
        <v>0.0</v>
      </c>
      <c r="J41" s="27">
        <v>0.0</v>
      </c>
      <c r="K41" s="27">
        <v>0.0</v>
      </c>
      <c r="L41" s="27">
        <v>0.0</v>
      </c>
      <c r="M41" s="27">
        <v>0.0</v>
      </c>
      <c r="N41" s="20">
        <f t="shared" si="9"/>
        <v>0</v>
      </c>
    </row>
    <row r="42" ht="15.75" customHeight="1">
      <c r="A42" s="28" t="s">
        <v>48</v>
      </c>
      <c r="B42" s="29">
        <f t="shared" ref="B42:M42" si="10">SUM(B38:B41)</f>
        <v>4100</v>
      </c>
      <c r="C42" s="29">
        <f t="shared" si="10"/>
        <v>0</v>
      </c>
      <c r="D42" s="29">
        <f t="shared" si="10"/>
        <v>0</v>
      </c>
      <c r="E42" s="29">
        <f t="shared" si="10"/>
        <v>0</v>
      </c>
      <c r="F42" s="29">
        <f t="shared" si="10"/>
        <v>0</v>
      </c>
      <c r="G42" s="29">
        <f t="shared" si="10"/>
        <v>0</v>
      </c>
      <c r="H42" s="29">
        <f t="shared" si="10"/>
        <v>0</v>
      </c>
      <c r="I42" s="29">
        <f t="shared" si="10"/>
        <v>0</v>
      </c>
      <c r="J42" s="29">
        <f t="shared" si="10"/>
        <v>0</v>
      </c>
      <c r="K42" s="29">
        <f t="shared" si="10"/>
        <v>0</v>
      </c>
      <c r="L42" s="29">
        <f t="shared" si="10"/>
        <v>0</v>
      </c>
      <c r="M42" s="29">
        <f t="shared" si="10"/>
        <v>0</v>
      </c>
      <c r="N42" s="29">
        <f t="shared" si="9"/>
        <v>4100</v>
      </c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</row>
    <row r="44" ht="15.75" customHeight="1">
      <c r="A44" s="24" t="s">
        <v>49</v>
      </c>
      <c r="B44" s="25" t="s">
        <v>7</v>
      </c>
      <c r="C44" s="25" t="s">
        <v>8</v>
      </c>
      <c r="D44" s="25" t="s">
        <v>9</v>
      </c>
      <c r="E44" s="25" t="s">
        <v>10</v>
      </c>
      <c r="F44" s="25" t="s">
        <v>11</v>
      </c>
      <c r="G44" s="25" t="s">
        <v>12</v>
      </c>
      <c r="H44" s="25" t="s">
        <v>13</v>
      </c>
      <c r="I44" s="25" t="s">
        <v>14</v>
      </c>
      <c r="J44" s="25" t="s">
        <v>15</v>
      </c>
      <c r="K44" s="25" t="s">
        <v>16</v>
      </c>
      <c r="L44" s="25" t="s">
        <v>17</v>
      </c>
      <c r="M44" s="25" t="s">
        <v>18</v>
      </c>
      <c r="N44" s="25" t="s">
        <v>19</v>
      </c>
    </row>
    <row r="45" ht="15.75" customHeight="1">
      <c r="A45" s="33" t="s">
        <v>50</v>
      </c>
      <c r="B45" s="20">
        <f t="shared" ref="B45:N45" si="11">SUM(B12-B22-B29-B35-B42)</f>
        <v>-9110</v>
      </c>
      <c r="C45" s="20">
        <f t="shared" si="11"/>
        <v>-5010</v>
      </c>
      <c r="D45" s="20">
        <f t="shared" si="11"/>
        <v>-5010</v>
      </c>
      <c r="E45" s="20">
        <f t="shared" si="11"/>
        <v>-5010</v>
      </c>
      <c r="F45" s="20">
        <f t="shared" si="11"/>
        <v>-5010</v>
      </c>
      <c r="G45" s="20">
        <f t="shared" si="11"/>
        <v>-5010</v>
      </c>
      <c r="H45" s="20">
        <f t="shared" si="11"/>
        <v>-5010</v>
      </c>
      <c r="I45" s="20">
        <f t="shared" si="11"/>
        <v>-5010</v>
      </c>
      <c r="J45" s="20">
        <f t="shared" si="11"/>
        <v>-5010</v>
      </c>
      <c r="K45" s="20">
        <f t="shared" si="11"/>
        <v>-5010</v>
      </c>
      <c r="L45" s="20">
        <f t="shared" si="11"/>
        <v>-5010</v>
      </c>
      <c r="M45" s="20">
        <f t="shared" si="11"/>
        <v>-5010</v>
      </c>
      <c r="N45" s="20">
        <f t="shared" si="11"/>
        <v>-64220</v>
      </c>
      <c r="O45" s="34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</row>
    <row r="47" ht="15.75" customHeight="1">
      <c r="A47" s="35" t="s">
        <v>51</v>
      </c>
      <c r="B47" s="18" t="s">
        <v>7</v>
      </c>
      <c r="C47" s="18" t="s">
        <v>8</v>
      </c>
      <c r="D47" s="18" t="s">
        <v>9</v>
      </c>
      <c r="E47" s="18" t="s">
        <v>10</v>
      </c>
      <c r="F47" s="18" t="s">
        <v>11</v>
      </c>
      <c r="G47" s="18" t="s">
        <v>12</v>
      </c>
      <c r="H47" s="18" t="s">
        <v>13</v>
      </c>
      <c r="I47" s="18" t="s">
        <v>14</v>
      </c>
      <c r="J47" s="18" t="s">
        <v>15</v>
      </c>
      <c r="K47" s="18" t="s">
        <v>16</v>
      </c>
      <c r="L47" s="18" t="s">
        <v>17</v>
      </c>
      <c r="M47" s="18" t="s">
        <v>18</v>
      </c>
      <c r="N47" s="18" t="s">
        <v>52</v>
      </c>
    </row>
    <row r="48" ht="15.75" customHeight="1">
      <c r="A48" s="36" t="s">
        <v>53</v>
      </c>
      <c r="B48" s="20">
        <f>B45</f>
        <v>-9110</v>
      </c>
      <c r="C48" s="20">
        <f t="shared" ref="C48:M48" si="12">C45+B48</f>
        <v>-14120</v>
      </c>
      <c r="D48" s="20">
        <f t="shared" si="12"/>
        <v>-19130</v>
      </c>
      <c r="E48" s="20">
        <f t="shared" si="12"/>
        <v>-24140</v>
      </c>
      <c r="F48" s="20">
        <f t="shared" si="12"/>
        <v>-29150</v>
      </c>
      <c r="G48" s="20">
        <f t="shared" si="12"/>
        <v>-34160</v>
      </c>
      <c r="H48" s="20">
        <f t="shared" si="12"/>
        <v>-39170</v>
      </c>
      <c r="I48" s="20">
        <f t="shared" si="12"/>
        <v>-44180</v>
      </c>
      <c r="J48" s="20">
        <f t="shared" si="12"/>
        <v>-49190</v>
      </c>
      <c r="K48" s="20">
        <f t="shared" si="12"/>
        <v>-54200</v>
      </c>
      <c r="L48" s="20">
        <f t="shared" si="12"/>
        <v>-59210</v>
      </c>
      <c r="M48" s="20">
        <f t="shared" si="12"/>
        <v>-64220</v>
      </c>
      <c r="N48" s="20">
        <f>M48</f>
        <v>-64220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A1:N1"/>
    <mergeCell ref="A2:N2"/>
    <mergeCell ref="B4:J4"/>
    <mergeCell ref="K4:L4"/>
    <mergeCell ref="M4:N4"/>
    <mergeCell ref="B6:N6"/>
  </mergeCells>
  <conditionalFormatting sqref="B45:N45">
    <cfRule type="cellIs" dxfId="0" priority="1" operator="greaterThan">
      <formula>0</formula>
    </cfRule>
  </conditionalFormatting>
  <conditionalFormatting sqref="B45:N45">
    <cfRule type="cellIs" dxfId="1" priority="2" operator="lessThan">
      <formula>0</formula>
    </cfRule>
  </conditionalFormatting>
  <conditionalFormatting sqref="B48:N48">
    <cfRule type="cellIs" dxfId="0" priority="3" operator="greaterThan">
      <formula>0</formula>
    </cfRule>
  </conditionalFormatting>
  <conditionalFormatting sqref="B48:N48">
    <cfRule type="cellIs" dxfId="1" priority="4" operator="less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DD4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8.14"/>
    <col customWidth="1" min="2" max="13" width="12.71"/>
    <col customWidth="1" min="14" max="14" width="15.71"/>
    <col customWidth="1" min="15" max="15" width="14.0"/>
    <col customWidth="1" min="16" max="26" width="8.71"/>
  </cols>
  <sheetData>
    <row r="1">
      <c r="A1" s="37" t="s">
        <v>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ht="15.75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>
      <c r="C3" s="39"/>
      <c r="D3" s="40"/>
      <c r="E3" s="40"/>
      <c r="F3" s="41" t="str">
        <f>('CUSTOS ANUAIS'!B4)</f>
        <v>Cidade Alerta</v>
      </c>
      <c r="G3" s="39" t="str">
        <f>IF(N8&gt;81000,"se enquadra no modelo Simples Nacional", "se enquadra no modelo MEI")</f>
        <v>se enquadra no modelo MEI</v>
      </c>
      <c r="I3" s="40"/>
      <c r="J3" s="40"/>
      <c r="K3" s="40"/>
      <c r="L3" s="40"/>
      <c r="M3" s="40"/>
      <c r="N3" s="40"/>
      <c r="O3" s="40"/>
    </row>
    <row r="4">
      <c r="A4" s="23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23"/>
    </row>
    <row r="5">
      <c r="A5" s="43" t="s">
        <v>6</v>
      </c>
      <c r="B5" s="44" t="s">
        <v>7</v>
      </c>
      <c r="C5" s="44" t="s">
        <v>8</v>
      </c>
      <c r="D5" s="44" t="s">
        <v>9</v>
      </c>
      <c r="E5" s="44" t="s">
        <v>10</v>
      </c>
      <c r="F5" s="44" t="s">
        <v>11</v>
      </c>
      <c r="G5" s="44" t="s">
        <v>12</v>
      </c>
      <c r="H5" s="44" t="s">
        <v>13</v>
      </c>
      <c r="I5" s="44" t="s">
        <v>14</v>
      </c>
      <c r="J5" s="44" t="s">
        <v>15</v>
      </c>
      <c r="K5" s="44" t="s">
        <v>16</v>
      </c>
      <c r="L5" s="44" t="s">
        <v>17</v>
      </c>
      <c r="M5" s="44" t="s">
        <v>18</v>
      </c>
      <c r="N5" s="45" t="s">
        <v>55</v>
      </c>
      <c r="O5" s="46" t="s">
        <v>56</v>
      </c>
    </row>
    <row r="6">
      <c r="A6" s="36" t="s">
        <v>57</v>
      </c>
      <c r="B6" s="27">
        <f>'CUSTOS ANUAIS'!B9</f>
        <v>0</v>
      </c>
      <c r="C6" s="27">
        <f>'CUSTOS ANUAIS'!C9</f>
        <v>0</v>
      </c>
      <c r="D6" s="27">
        <f>'CUSTOS ANUAIS'!D9</f>
        <v>0</v>
      </c>
      <c r="E6" s="27">
        <f>'CUSTOS ANUAIS'!E9</f>
        <v>0</v>
      </c>
      <c r="F6" s="27">
        <f>'CUSTOS ANUAIS'!F9</f>
        <v>0</v>
      </c>
      <c r="G6" s="27">
        <f>'CUSTOS ANUAIS'!G9</f>
        <v>0</v>
      </c>
      <c r="H6" s="27">
        <f>'CUSTOS ANUAIS'!H9</f>
        <v>0</v>
      </c>
      <c r="I6" s="27">
        <f>'CUSTOS ANUAIS'!I9</f>
        <v>0</v>
      </c>
      <c r="J6" s="27">
        <f>'CUSTOS ANUAIS'!J9</f>
        <v>0</v>
      </c>
      <c r="K6" s="27">
        <f>'CUSTOS ANUAIS'!K9</f>
        <v>0</v>
      </c>
      <c r="L6" s="27">
        <f>'CUSTOS ANUAIS'!L9</f>
        <v>0</v>
      </c>
      <c r="M6" s="27">
        <f>'CUSTOS ANUAIS'!M9</f>
        <v>0</v>
      </c>
      <c r="N6" s="27">
        <f t="shared" ref="N6:N8" si="1">SUM(B6:M6)</f>
        <v>0</v>
      </c>
      <c r="O6" s="47" t="str">
        <f t="shared" ref="O6:O7" si="2">+N6/N$8</f>
        <v>#DIV/0!</v>
      </c>
    </row>
    <row r="7">
      <c r="A7" s="36" t="s">
        <v>58</v>
      </c>
      <c r="B7" s="27">
        <f>'CUSTOS ANUAIS'!B10</f>
        <v>0</v>
      </c>
      <c r="C7" s="27">
        <f>'CUSTOS ANUAIS'!C10</f>
        <v>0</v>
      </c>
      <c r="D7" s="27">
        <f>'CUSTOS ANUAIS'!D10</f>
        <v>0</v>
      </c>
      <c r="E7" s="27">
        <f>'CUSTOS ANUAIS'!E10</f>
        <v>0</v>
      </c>
      <c r="F7" s="27">
        <f>'CUSTOS ANUAIS'!F10</f>
        <v>0</v>
      </c>
      <c r="G7" s="27">
        <f>'CUSTOS ANUAIS'!G10</f>
        <v>0</v>
      </c>
      <c r="H7" s="27">
        <f>'CUSTOS ANUAIS'!H10</f>
        <v>0</v>
      </c>
      <c r="I7" s="27">
        <f>'CUSTOS ANUAIS'!I10</f>
        <v>0</v>
      </c>
      <c r="J7" s="27">
        <f>'CUSTOS ANUAIS'!J10</f>
        <v>0</v>
      </c>
      <c r="K7" s="27">
        <f>'CUSTOS ANUAIS'!K10</f>
        <v>0</v>
      </c>
      <c r="L7" s="27">
        <f>'CUSTOS ANUAIS'!L10</f>
        <v>0</v>
      </c>
      <c r="M7" s="27">
        <f>'CUSTOS ANUAIS'!M10</f>
        <v>0</v>
      </c>
      <c r="N7" s="27">
        <f t="shared" si="1"/>
        <v>0</v>
      </c>
      <c r="O7" s="47" t="str">
        <f t="shared" si="2"/>
        <v>#DIV/0!</v>
      </c>
    </row>
    <row r="8">
      <c r="A8" s="48" t="s">
        <v>23</v>
      </c>
      <c r="B8" s="49">
        <f t="shared" ref="B8:M8" si="3">SUM(B6:B7)</f>
        <v>0</v>
      </c>
      <c r="C8" s="49">
        <f t="shared" si="3"/>
        <v>0</v>
      </c>
      <c r="D8" s="49">
        <f t="shared" si="3"/>
        <v>0</v>
      </c>
      <c r="E8" s="49">
        <f t="shared" si="3"/>
        <v>0</v>
      </c>
      <c r="F8" s="49">
        <f t="shared" si="3"/>
        <v>0</v>
      </c>
      <c r="G8" s="49">
        <f t="shared" si="3"/>
        <v>0</v>
      </c>
      <c r="H8" s="49">
        <f t="shared" si="3"/>
        <v>0</v>
      </c>
      <c r="I8" s="49">
        <f t="shared" si="3"/>
        <v>0</v>
      </c>
      <c r="J8" s="49">
        <f t="shared" si="3"/>
        <v>0</v>
      </c>
      <c r="K8" s="49">
        <f t="shared" si="3"/>
        <v>0</v>
      </c>
      <c r="L8" s="49">
        <f t="shared" si="3"/>
        <v>0</v>
      </c>
      <c r="M8" s="49">
        <f t="shared" si="3"/>
        <v>0</v>
      </c>
      <c r="N8" s="49">
        <f t="shared" si="1"/>
        <v>0</v>
      </c>
      <c r="O8" s="50">
        <v>1.0</v>
      </c>
    </row>
    <row r="9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3"/>
    </row>
    <row r="10">
      <c r="A10" s="43" t="s">
        <v>39</v>
      </c>
      <c r="B10" s="44" t="s">
        <v>7</v>
      </c>
      <c r="C10" s="44" t="s">
        <v>8</v>
      </c>
      <c r="D10" s="44" t="s">
        <v>9</v>
      </c>
      <c r="E10" s="44" t="s">
        <v>10</v>
      </c>
      <c r="F10" s="44" t="s">
        <v>11</v>
      </c>
      <c r="G10" s="44" t="s">
        <v>12</v>
      </c>
      <c r="H10" s="44" t="s">
        <v>13</v>
      </c>
      <c r="I10" s="44" t="s">
        <v>14</v>
      </c>
      <c r="J10" s="44" t="s">
        <v>15</v>
      </c>
      <c r="K10" s="44" t="s">
        <v>16</v>
      </c>
      <c r="L10" s="44" t="s">
        <v>17</v>
      </c>
      <c r="M10" s="44" t="s">
        <v>18</v>
      </c>
      <c r="N10" s="45" t="s">
        <v>55</v>
      </c>
      <c r="O10" s="46" t="s">
        <v>56</v>
      </c>
    </row>
    <row r="11">
      <c r="A11" s="36" t="s">
        <v>59</v>
      </c>
      <c r="B11" s="27">
        <f>'CUSTOS ANUAIS'!B32</f>
        <v>0</v>
      </c>
      <c r="C11" s="27">
        <f>'CUSTOS ANUAIS'!C32</f>
        <v>0</v>
      </c>
      <c r="D11" s="27">
        <f>'CUSTOS ANUAIS'!D32</f>
        <v>0</v>
      </c>
      <c r="E11" s="27">
        <f>'CUSTOS ANUAIS'!E32</f>
        <v>0</v>
      </c>
      <c r="F11" s="27">
        <f>'CUSTOS ANUAIS'!F32</f>
        <v>0</v>
      </c>
      <c r="G11" s="27">
        <f>'CUSTOS ANUAIS'!G32</f>
        <v>0</v>
      </c>
      <c r="H11" s="27">
        <f>'CUSTOS ANUAIS'!H32</f>
        <v>0</v>
      </c>
      <c r="I11" s="27">
        <f>'CUSTOS ANUAIS'!I32</f>
        <v>0</v>
      </c>
      <c r="J11" s="27">
        <f>'CUSTOS ANUAIS'!J32</f>
        <v>0</v>
      </c>
      <c r="K11" s="27">
        <f>'CUSTOS ANUAIS'!K32</f>
        <v>0</v>
      </c>
      <c r="L11" s="27">
        <f>'CUSTOS ANUAIS'!L32</f>
        <v>0</v>
      </c>
      <c r="M11" s="27">
        <f>'CUSTOS ANUAIS'!M32</f>
        <v>0</v>
      </c>
      <c r="N11" s="20">
        <f t="shared" ref="N11:N14" si="4">SUM(B11:M11)</f>
        <v>0</v>
      </c>
      <c r="O11" s="47" t="str">
        <f t="shared" ref="O11:O13" si="5">+N11/N$14</f>
        <v>#DIV/0!</v>
      </c>
    </row>
    <row r="12">
      <c r="A12" s="36" t="s">
        <v>60</v>
      </c>
      <c r="B12" s="27">
        <f>'CUSTOS ANUAIS'!B33</f>
        <v>0</v>
      </c>
      <c r="C12" s="27">
        <f>'CUSTOS ANUAIS'!C33</f>
        <v>0</v>
      </c>
      <c r="D12" s="27">
        <f>'CUSTOS ANUAIS'!D33</f>
        <v>0</v>
      </c>
      <c r="E12" s="27">
        <f>'CUSTOS ANUAIS'!E33</f>
        <v>0</v>
      </c>
      <c r="F12" s="27">
        <f>'CUSTOS ANUAIS'!F33</f>
        <v>0</v>
      </c>
      <c r="G12" s="27">
        <f>'CUSTOS ANUAIS'!G33</f>
        <v>0</v>
      </c>
      <c r="H12" s="27">
        <f>'CUSTOS ANUAIS'!H33</f>
        <v>0</v>
      </c>
      <c r="I12" s="27">
        <f>'CUSTOS ANUAIS'!I33</f>
        <v>0</v>
      </c>
      <c r="J12" s="27">
        <f>'CUSTOS ANUAIS'!J33</f>
        <v>0</v>
      </c>
      <c r="K12" s="27">
        <f>'CUSTOS ANUAIS'!K33</f>
        <v>0</v>
      </c>
      <c r="L12" s="27">
        <f>'CUSTOS ANUAIS'!L33</f>
        <v>0</v>
      </c>
      <c r="M12" s="27">
        <f>'CUSTOS ANUAIS'!M33</f>
        <v>0</v>
      </c>
      <c r="N12" s="20">
        <f t="shared" si="4"/>
        <v>0</v>
      </c>
      <c r="O12" s="47" t="str">
        <f t="shared" si="5"/>
        <v>#DIV/0!</v>
      </c>
    </row>
    <row r="13">
      <c r="A13" s="36" t="s">
        <v>42</v>
      </c>
      <c r="B13" s="27">
        <f>'CUSTOS ANUAIS'!B34</f>
        <v>0</v>
      </c>
      <c r="C13" s="27">
        <f>'CUSTOS ANUAIS'!C34</f>
        <v>0</v>
      </c>
      <c r="D13" s="27">
        <f>'CUSTOS ANUAIS'!D34</f>
        <v>0</v>
      </c>
      <c r="E13" s="27">
        <f>'CUSTOS ANUAIS'!E34</f>
        <v>0</v>
      </c>
      <c r="F13" s="27">
        <f>'CUSTOS ANUAIS'!F34</f>
        <v>0</v>
      </c>
      <c r="G13" s="27">
        <f>'CUSTOS ANUAIS'!G34</f>
        <v>0</v>
      </c>
      <c r="H13" s="27">
        <f>'CUSTOS ANUAIS'!H34</f>
        <v>0</v>
      </c>
      <c r="I13" s="27">
        <f>'CUSTOS ANUAIS'!I34</f>
        <v>0</v>
      </c>
      <c r="J13" s="27">
        <f>'CUSTOS ANUAIS'!J34</f>
        <v>0</v>
      </c>
      <c r="K13" s="27">
        <f>'CUSTOS ANUAIS'!K34</f>
        <v>0</v>
      </c>
      <c r="L13" s="27">
        <f>'CUSTOS ANUAIS'!L34</f>
        <v>0</v>
      </c>
      <c r="M13" s="27">
        <f>'CUSTOS ANUAIS'!M34</f>
        <v>0</v>
      </c>
      <c r="N13" s="20">
        <f t="shared" si="4"/>
        <v>0</v>
      </c>
      <c r="O13" s="47" t="str">
        <f t="shared" si="5"/>
        <v>#DIV/0!</v>
      </c>
    </row>
    <row r="14">
      <c r="A14" s="54" t="s">
        <v>61</v>
      </c>
      <c r="B14" s="55">
        <f t="shared" ref="B14:M14" si="6">SUM(B11:B13)</f>
        <v>0</v>
      </c>
      <c r="C14" s="55">
        <f t="shared" si="6"/>
        <v>0</v>
      </c>
      <c r="D14" s="55">
        <f t="shared" si="6"/>
        <v>0</v>
      </c>
      <c r="E14" s="55">
        <f t="shared" si="6"/>
        <v>0</v>
      </c>
      <c r="F14" s="55">
        <f t="shared" si="6"/>
        <v>0</v>
      </c>
      <c r="G14" s="55">
        <f t="shared" si="6"/>
        <v>0</v>
      </c>
      <c r="H14" s="55">
        <f t="shared" si="6"/>
        <v>0</v>
      </c>
      <c r="I14" s="55">
        <f t="shared" si="6"/>
        <v>0</v>
      </c>
      <c r="J14" s="55">
        <f t="shared" si="6"/>
        <v>0</v>
      </c>
      <c r="K14" s="55">
        <f t="shared" si="6"/>
        <v>0</v>
      </c>
      <c r="L14" s="55">
        <f t="shared" si="6"/>
        <v>0</v>
      </c>
      <c r="M14" s="55">
        <f t="shared" si="6"/>
        <v>0</v>
      </c>
      <c r="N14" s="55">
        <f t="shared" si="4"/>
        <v>0</v>
      </c>
      <c r="O14" s="56">
        <v>1.0</v>
      </c>
    </row>
    <row r="15">
      <c r="A15" s="23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23"/>
    </row>
    <row r="16">
      <c r="A16" s="43" t="s">
        <v>62</v>
      </c>
      <c r="B16" s="44" t="s">
        <v>7</v>
      </c>
      <c r="C16" s="44" t="s">
        <v>8</v>
      </c>
      <c r="D16" s="44" t="s">
        <v>9</v>
      </c>
      <c r="E16" s="44" t="s">
        <v>10</v>
      </c>
      <c r="F16" s="44" t="s">
        <v>11</v>
      </c>
      <c r="G16" s="44" t="s">
        <v>12</v>
      </c>
      <c r="H16" s="44" t="s">
        <v>13</v>
      </c>
      <c r="I16" s="44" t="s">
        <v>14</v>
      </c>
      <c r="J16" s="44" t="s">
        <v>15</v>
      </c>
      <c r="K16" s="44" t="s">
        <v>16</v>
      </c>
      <c r="L16" s="44" t="s">
        <v>17</v>
      </c>
      <c r="M16" s="44" t="s">
        <v>18</v>
      </c>
      <c r="N16" s="45" t="s">
        <v>55</v>
      </c>
      <c r="O16" s="46" t="s">
        <v>56</v>
      </c>
    </row>
    <row r="17">
      <c r="A17" s="36" t="s">
        <v>63</v>
      </c>
      <c r="B17" s="20">
        <f t="shared" ref="B17:M17" si="7">B8-B14</f>
        <v>0</v>
      </c>
      <c r="C17" s="20">
        <f t="shared" si="7"/>
        <v>0</v>
      </c>
      <c r="D17" s="20">
        <f t="shared" si="7"/>
        <v>0</v>
      </c>
      <c r="E17" s="20">
        <f t="shared" si="7"/>
        <v>0</v>
      </c>
      <c r="F17" s="20">
        <f t="shared" si="7"/>
        <v>0</v>
      </c>
      <c r="G17" s="20">
        <f t="shared" si="7"/>
        <v>0</v>
      </c>
      <c r="H17" s="20">
        <f t="shared" si="7"/>
        <v>0</v>
      </c>
      <c r="I17" s="20">
        <f t="shared" si="7"/>
        <v>0</v>
      </c>
      <c r="J17" s="20">
        <f t="shared" si="7"/>
        <v>0</v>
      </c>
      <c r="K17" s="20">
        <f t="shared" si="7"/>
        <v>0</v>
      </c>
      <c r="L17" s="20">
        <f t="shared" si="7"/>
        <v>0</v>
      </c>
      <c r="M17" s="20">
        <f t="shared" si="7"/>
        <v>0</v>
      </c>
      <c r="N17" s="20">
        <f>SUM(B17:M17)</f>
        <v>0</v>
      </c>
      <c r="O17" s="47"/>
    </row>
    <row r="18">
      <c r="A18" s="36" t="s">
        <v>64</v>
      </c>
      <c r="B18" s="57" t="str">
        <f t="shared" ref="B18:N18" si="8">B17/B8</f>
        <v>#DIV/0!</v>
      </c>
      <c r="C18" s="58" t="str">
        <f t="shared" si="8"/>
        <v>#DIV/0!</v>
      </c>
      <c r="D18" s="58" t="str">
        <f t="shared" si="8"/>
        <v>#DIV/0!</v>
      </c>
      <c r="E18" s="58" t="str">
        <f t="shared" si="8"/>
        <v>#DIV/0!</v>
      </c>
      <c r="F18" s="58" t="str">
        <f t="shared" si="8"/>
        <v>#DIV/0!</v>
      </c>
      <c r="G18" s="58" t="str">
        <f t="shared" si="8"/>
        <v>#DIV/0!</v>
      </c>
      <c r="H18" s="58" t="str">
        <f t="shared" si="8"/>
        <v>#DIV/0!</v>
      </c>
      <c r="I18" s="58" t="str">
        <f t="shared" si="8"/>
        <v>#DIV/0!</v>
      </c>
      <c r="J18" s="58" t="str">
        <f t="shared" si="8"/>
        <v>#DIV/0!</v>
      </c>
      <c r="K18" s="58" t="str">
        <f t="shared" si="8"/>
        <v>#DIV/0!</v>
      </c>
      <c r="L18" s="58" t="str">
        <f t="shared" si="8"/>
        <v>#DIV/0!</v>
      </c>
      <c r="M18" s="58" t="str">
        <f t="shared" si="8"/>
        <v>#DIV/0!</v>
      </c>
      <c r="N18" s="57" t="str">
        <f t="shared" si="8"/>
        <v>#DIV/0!</v>
      </c>
      <c r="O18" s="59"/>
    </row>
    <row r="19">
      <c r="A19" s="51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3"/>
    </row>
    <row r="20">
      <c r="A20" s="43" t="s">
        <v>24</v>
      </c>
      <c r="B20" s="44" t="s">
        <v>7</v>
      </c>
      <c r="C20" s="44" t="s">
        <v>8</v>
      </c>
      <c r="D20" s="44" t="s">
        <v>9</v>
      </c>
      <c r="E20" s="44" t="s">
        <v>10</v>
      </c>
      <c r="F20" s="44" t="s">
        <v>11</v>
      </c>
      <c r="G20" s="44" t="s">
        <v>12</v>
      </c>
      <c r="H20" s="44" t="s">
        <v>13</v>
      </c>
      <c r="I20" s="44" t="s">
        <v>14</v>
      </c>
      <c r="J20" s="44" t="s">
        <v>15</v>
      </c>
      <c r="K20" s="44" t="s">
        <v>16</v>
      </c>
      <c r="L20" s="44" t="s">
        <v>17</v>
      </c>
      <c r="M20" s="44" t="s">
        <v>18</v>
      </c>
      <c r="N20" s="45" t="s">
        <v>55</v>
      </c>
      <c r="O20" s="46" t="s">
        <v>56</v>
      </c>
    </row>
    <row r="21" ht="15.75" customHeight="1">
      <c r="A21" s="54" t="s">
        <v>65</v>
      </c>
      <c r="B21" s="55">
        <f>'CUSTOS ANUAIS'!B22</f>
        <v>240</v>
      </c>
      <c r="C21" s="55">
        <f>'CUSTOS ANUAIS'!C22</f>
        <v>240</v>
      </c>
      <c r="D21" s="55">
        <f>'CUSTOS ANUAIS'!D22</f>
        <v>240</v>
      </c>
      <c r="E21" s="55">
        <f>'CUSTOS ANUAIS'!E22</f>
        <v>240</v>
      </c>
      <c r="F21" s="55">
        <f>'CUSTOS ANUAIS'!F22</f>
        <v>240</v>
      </c>
      <c r="G21" s="55">
        <f>'CUSTOS ANUAIS'!G22</f>
        <v>240</v>
      </c>
      <c r="H21" s="55">
        <f>'CUSTOS ANUAIS'!H22</f>
        <v>240</v>
      </c>
      <c r="I21" s="55">
        <f>'CUSTOS ANUAIS'!I22</f>
        <v>240</v>
      </c>
      <c r="J21" s="55">
        <f>'CUSTOS ANUAIS'!J22</f>
        <v>240</v>
      </c>
      <c r="K21" s="55">
        <f>'CUSTOS ANUAIS'!K22</f>
        <v>240</v>
      </c>
      <c r="L21" s="55">
        <f>'CUSTOS ANUAIS'!L22</f>
        <v>240</v>
      </c>
      <c r="M21" s="55">
        <f>'CUSTOS ANUAIS'!M22</f>
        <v>240</v>
      </c>
      <c r="N21" s="60">
        <f>SUM(B21:M21)</f>
        <v>2880</v>
      </c>
      <c r="O21" s="61">
        <v>1.0</v>
      </c>
    </row>
    <row r="22" ht="15.75" customHeight="1">
      <c r="A22" s="23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23"/>
    </row>
    <row r="23" ht="15.75" customHeight="1">
      <c r="A23" s="43" t="s">
        <v>66</v>
      </c>
      <c r="B23" s="44" t="s">
        <v>7</v>
      </c>
      <c r="C23" s="44" t="s">
        <v>8</v>
      </c>
      <c r="D23" s="44" t="s">
        <v>9</v>
      </c>
      <c r="E23" s="44" t="s">
        <v>10</v>
      </c>
      <c r="F23" s="44" t="s">
        <v>11</v>
      </c>
      <c r="G23" s="44" t="s">
        <v>12</v>
      </c>
      <c r="H23" s="44" t="s">
        <v>13</v>
      </c>
      <c r="I23" s="44" t="s">
        <v>14</v>
      </c>
      <c r="J23" s="44" t="s">
        <v>15</v>
      </c>
      <c r="K23" s="44" t="s">
        <v>16</v>
      </c>
      <c r="L23" s="44" t="s">
        <v>17</v>
      </c>
      <c r="M23" s="44" t="s">
        <v>18</v>
      </c>
      <c r="N23" s="45" t="s">
        <v>55</v>
      </c>
      <c r="O23" s="46" t="s">
        <v>56</v>
      </c>
    </row>
    <row r="24" ht="15.75" customHeight="1">
      <c r="A24" s="36" t="s">
        <v>67</v>
      </c>
      <c r="B24" s="20">
        <f t="shared" ref="B24:M24" si="9">B17-B21</f>
        <v>-240</v>
      </c>
      <c r="C24" s="20">
        <f t="shared" si="9"/>
        <v>-240</v>
      </c>
      <c r="D24" s="20">
        <f t="shared" si="9"/>
        <v>-240</v>
      </c>
      <c r="E24" s="20">
        <f t="shared" si="9"/>
        <v>-240</v>
      </c>
      <c r="F24" s="20">
        <f t="shared" si="9"/>
        <v>-240</v>
      </c>
      <c r="G24" s="20">
        <f t="shared" si="9"/>
        <v>-240</v>
      </c>
      <c r="H24" s="20">
        <f t="shared" si="9"/>
        <v>-240</v>
      </c>
      <c r="I24" s="20">
        <f t="shared" si="9"/>
        <v>-240</v>
      </c>
      <c r="J24" s="20">
        <f t="shared" si="9"/>
        <v>-240</v>
      </c>
      <c r="K24" s="20">
        <f t="shared" si="9"/>
        <v>-240</v>
      </c>
      <c r="L24" s="20">
        <f t="shared" si="9"/>
        <v>-240</v>
      </c>
      <c r="M24" s="20">
        <f t="shared" si="9"/>
        <v>-240</v>
      </c>
      <c r="N24" s="20">
        <f>SUM(B24:M24)</f>
        <v>-2880</v>
      </c>
      <c r="O24" s="47"/>
    </row>
    <row r="25" ht="15.75" customHeight="1">
      <c r="A25" s="36" t="s">
        <v>64</v>
      </c>
      <c r="B25" s="57" t="str">
        <f t="shared" ref="B25:N25" si="10">B24/B8</f>
        <v>#DIV/0!</v>
      </c>
      <c r="C25" s="58" t="str">
        <f t="shared" si="10"/>
        <v>#DIV/0!</v>
      </c>
      <c r="D25" s="58" t="str">
        <f t="shared" si="10"/>
        <v>#DIV/0!</v>
      </c>
      <c r="E25" s="58" t="str">
        <f t="shared" si="10"/>
        <v>#DIV/0!</v>
      </c>
      <c r="F25" s="58" t="str">
        <f t="shared" si="10"/>
        <v>#DIV/0!</v>
      </c>
      <c r="G25" s="58" t="str">
        <f t="shared" si="10"/>
        <v>#DIV/0!</v>
      </c>
      <c r="H25" s="58" t="str">
        <f t="shared" si="10"/>
        <v>#DIV/0!</v>
      </c>
      <c r="I25" s="58" t="str">
        <f t="shared" si="10"/>
        <v>#DIV/0!</v>
      </c>
      <c r="J25" s="58" t="str">
        <f t="shared" si="10"/>
        <v>#DIV/0!</v>
      </c>
      <c r="K25" s="58" t="str">
        <f t="shared" si="10"/>
        <v>#DIV/0!</v>
      </c>
      <c r="L25" s="58" t="str">
        <f t="shared" si="10"/>
        <v>#DIV/0!</v>
      </c>
      <c r="M25" s="58" t="str">
        <f t="shared" si="10"/>
        <v>#DIV/0!</v>
      </c>
      <c r="N25" s="58" t="str">
        <f t="shared" si="10"/>
        <v>#DIV/0!</v>
      </c>
      <c r="O25" s="59"/>
    </row>
    <row r="26" ht="15.75" customHeight="1">
      <c r="A26" s="51"/>
      <c r="B26" s="62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3"/>
    </row>
    <row r="27" ht="15.75" customHeight="1">
      <c r="A27" s="43" t="s">
        <v>68</v>
      </c>
      <c r="B27" s="44" t="s">
        <v>7</v>
      </c>
      <c r="C27" s="44" t="s">
        <v>8</v>
      </c>
      <c r="D27" s="44" t="s">
        <v>9</v>
      </c>
      <c r="E27" s="44" t="s">
        <v>10</v>
      </c>
      <c r="F27" s="44" t="s">
        <v>11</v>
      </c>
      <c r="G27" s="44" t="s">
        <v>12</v>
      </c>
      <c r="H27" s="44" t="s">
        <v>13</v>
      </c>
      <c r="I27" s="44" t="s">
        <v>14</v>
      </c>
      <c r="J27" s="44" t="s">
        <v>15</v>
      </c>
      <c r="K27" s="44" t="s">
        <v>16</v>
      </c>
      <c r="L27" s="44" t="s">
        <v>17</v>
      </c>
      <c r="M27" s="44" t="s">
        <v>18</v>
      </c>
      <c r="N27" s="45" t="s">
        <v>55</v>
      </c>
      <c r="O27" s="46" t="s">
        <v>56</v>
      </c>
    </row>
    <row r="28" ht="15.75" customHeight="1">
      <c r="A28" s="54" t="s">
        <v>69</v>
      </c>
      <c r="B28" s="55">
        <f>SUM('CUSTOS ANUAIS'!B22,'CUSTOS ANUAIS'!B29,'CUSTOS ANUAIS'!B35,'CUSTOS ANUAIS'!B42)</f>
        <v>9110</v>
      </c>
      <c r="C28" s="55">
        <f>SUM('CUSTOS ANUAIS'!C22,'CUSTOS ANUAIS'!C29,'CUSTOS ANUAIS'!C35,'CUSTOS ANUAIS'!C42)</f>
        <v>5010</v>
      </c>
      <c r="D28" s="55">
        <f>SUM('CUSTOS ANUAIS'!D22,'CUSTOS ANUAIS'!D29,'CUSTOS ANUAIS'!D35,'CUSTOS ANUAIS'!D42)</f>
        <v>5010</v>
      </c>
      <c r="E28" s="55">
        <f>SUM('CUSTOS ANUAIS'!E22,'CUSTOS ANUAIS'!E29,'CUSTOS ANUAIS'!E35,'CUSTOS ANUAIS'!E42)</f>
        <v>5010</v>
      </c>
      <c r="F28" s="55">
        <f>SUM('CUSTOS ANUAIS'!F22,'CUSTOS ANUAIS'!F29,'CUSTOS ANUAIS'!F35,'CUSTOS ANUAIS'!F42)</f>
        <v>5010</v>
      </c>
      <c r="G28" s="55">
        <f>SUM('CUSTOS ANUAIS'!G22,'CUSTOS ANUAIS'!G29,'CUSTOS ANUAIS'!G35,'CUSTOS ANUAIS'!G42)</f>
        <v>5010</v>
      </c>
      <c r="H28" s="55">
        <f>SUM('CUSTOS ANUAIS'!H22,'CUSTOS ANUAIS'!H29,'CUSTOS ANUAIS'!H35,'CUSTOS ANUAIS'!H42)</f>
        <v>5010</v>
      </c>
      <c r="I28" s="55">
        <f>SUM('CUSTOS ANUAIS'!I22,'CUSTOS ANUAIS'!I29,'CUSTOS ANUAIS'!I35,'CUSTOS ANUAIS'!I42)</f>
        <v>5010</v>
      </c>
      <c r="J28" s="55">
        <f>SUM('CUSTOS ANUAIS'!J22,'CUSTOS ANUAIS'!J29,'CUSTOS ANUAIS'!J35,'CUSTOS ANUAIS'!J42)</f>
        <v>5010</v>
      </c>
      <c r="K28" s="55">
        <f>SUM('CUSTOS ANUAIS'!K22,'CUSTOS ANUAIS'!K29,'CUSTOS ANUAIS'!K35,'CUSTOS ANUAIS'!K42)</f>
        <v>5010</v>
      </c>
      <c r="L28" s="55">
        <f>SUM('CUSTOS ANUAIS'!L22,'CUSTOS ANUAIS'!L29,'CUSTOS ANUAIS'!L35,'CUSTOS ANUAIS'!L42)</f>
        <v>5010</v>
      </c>
      <c r="M28" s="55">
        <f>SUM('CUSTOS ANUAIS'!M22,'CUSTOS ANUAIS'!M29,'CUSTOS ANUAIS'!M35,'CUSTOS ANUAIS'!M42)</f>
        <v>5010</v>
      </c>
      <c r="N28" s="60">
        <f>SUM(B28:M28)</f>
        <v>64220</v>
      </c>
      <c r="O28" s="61">
        <v>1.0</v>
      </c>
    </row>
    <row r="29" ht="15.75" customHeight="1">
      <c r="A29" s="51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3"/>
    </row>
    <row r="30" ht="15.75" customHeight="1">
      <c r="A30" s="43" t="s">
        <v>70</v>
      </c>
      <c r="B30" s="44" t="s">
        <v>7</v>
      </c>
      <c r="C30" s="44" t="s">
        <v>8</v>
      </c>
      <c r="D30" s="44" t="s">
        <v>9</v>
      </c>
      <c r="E30" s="44" t="s">
        <v>10</v>
      </c>
      <c r="F30" s="44" t="s">
        <v>11</v>
      </c>
      <c r="G30" s="44" t="s">
        <v>12</v>
      </c>
      <c r="H30" s="44" t="s">
        <v>13</v>
      </c>
      <c r="I30" s="44" t="s">
        <v>14</v>
      </c>
      <c r="J30" s="44" t="s">
        <v>15</v>
      </c>
      <c r="K30" s="44" t="s">
        <v>16</v>
      </c>
      <c r="L30" s="44" t="s">
        <v>17</v>
      </c>
      <c r="M30" s="44" t="s">
        <v>18</v>
      </c>
      <c r="N30" s="45" t="s">
        <v>55</v>
      </c>
      <c r="O30" s="46" t="s">
        <v>56</v>
      </c>
    </row>
    <row r="31" ht="15.75" customHeight="1">
      <c r="A31" s="36" t="s">
        <v>71</v>
      </c>
      <c r="B31" s="20" t="str">
        <f t="shared" ref="B31:N31" si="11">B21/B17</f>
        <v>#DIV/0!</v>
      </c>
      <c r="C31" s="20" t="str">
        <f t="shared" si="11"/>
        <v>#DIV/0!</v>
      </c>
      <c r="D31" s="20" t="str">
        <f t="shared" si="11"/>
        <v>#DIV/0!</v>
      </c>
      <c r="E31" s="20" t="str">
        <f t="shared" si="11"/>
        <v>#DIV/0!</v>
      </c>
      <c r="F31" s="20" t="str">
        <f t="shared" si="11"/>
        <v>#DIV/0!</v>
      </c>
      <c r="G31" s="20" t="str">
        <f t="shared" si="11"/>
        <v>#DIV/0!</v>
      </c>
      <c r="H31" s="20" t="str">
        <f t="shared" si="11"/>
        <v>#DIV/0!</v>
      </c>
      <c r="I31" s="20" t="str">
        <f t="shared" si="11"/>
        <v>#DIV/0!</v>
      </c>
      <c r="J31" s="20" t="str">
        <f t="shared" si="11"/>
        <v>#DIV/0!</v>
      </c>
      <c r="K31" s="20" t="str">
        <f t="shared" si="11"/>
        <v>#DIV/0!</v>
      </c>
      <c r="L31" s="20" t="str">
        <f t="shared" si="11"/>
        <v>#DIV/0!</v>
      </c>
      <c r="M31" s="20" t="str">
        <f t="shared" si="11"/>
        <v>#DIV/0!</v>
      </c>
      <c r="N31" s="20" t="str">
        <f t="shared" si="11"/>
        <v>#DIV/0!</v>
      </c>
      <c r="O31" s="47">
        <v>1.0</v>
      </c>
    </row>
    <row r="32" ht="15.75" customHeight="1"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</row>
    <row r="33" ht="15.75" customHeight="1"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</row>
    <row r="34" ht="15.75" customHeight="1"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</row>
    <row r="35" ht="15.75" customHeight="1"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</row>
    <row r="36" ht="15.75" customHeight="1"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</row>
    <row r="37" ht="15.75" customHeight="1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</row>
    <row r="38" ht="15.75" customHeight="1"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</row>
    <row r="39" ht="15.75" customHeight="1"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</row>
    <row r="40" ht="15.75" customHeight="1"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</row>
    <row r="41" ht="15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</row>
    <row r="42" ht="15.75" customHeight="1"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</row>
    <row r="43" ht="15.75" customHeight="1"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</row>
    <row r="44" ht="15.75" customHeight="1"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</row>
    <row r="45" ht="15.75" customHeight="1"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</row>
    <row r="46" ht="15.75" customHeight="1"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</row>
    <row r="47" ht="15.75" customHeight="1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</row>
    <row r="48" ht="15.75" customHeight="1"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</row>
    <row r="49" ht="15.75" customHeight="1"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</row>
    <row r="50" ht="15.75" customHeight="1"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</row>
    <row r="51" ht="15.75" customHeight="1"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</row>
    <row r="52" ht="15.75" customHeight="1"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</row>
    <row r="53" ht="15.75" customHeight="1"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</row>
    <row r="54" ht="15.75" customHeight="1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</row>
    <row r="55" ht="15.75" customHeight="1"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</row>
    <row r="56" ht="15.75" customHeight="1"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</row>
    <row r="57" ht="15.75" customHeight="1"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</row>
    <row r="58" ht="15.75" customHeight="1"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</row>
    <row r="59" ht="15.75" customHeight="1"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</row>
    <row r="60" ht="15.75" customHeight="1"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</row>
    <row r="61" ht="15.75" customHeight="1"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</row>
    <row r="62" ht="15.75" customHeight="1"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</row>
    <row r="63" ht="15.75" customHeight="1"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</row>
    <row r="64" ht="15.75" customHeight="1"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</row>
    <row r="65" ht="15.75" customHeight="1"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</row>
    <row r="66" ht="15.75" customHeight="1"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</row>
    <row r="67" ht="15.75" customHeight="1"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</row>
    <row r="68" ht="15.75" customHeight="1"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</row>
    <row r="69" ht="15.75" customHeight="1"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</row>
    <row r="70" ht="15.75" customHeight="1"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</row>
    <row r="71" ht="15.75" customHeight="1"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</row>
    <row r="72" ht="15.75" customHeight="1"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</row>
    <row r="73" ht="15.75" customHeight="1"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</row>
    <row r="74" ht="15.75" customHeight="1"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</row>
    <row r="75" ht="15.75" customHeight="1"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</row>
    <row r="76" ht="15.75" customHeight="1"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</row>
    <row r="77" ht="15.75" customHeight="1"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</row>
    <row r="78" ht="15.75" customHeight="1"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</row>
    <row r="79" ht="15.75" customHeight="1"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</row>
    <row r="80" ht="15.75" customHeight="1"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</row>
    <row r="81" ht="15.75" customHeight="1"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</row>
    <row r="82" ht="15.75" customHeight="1"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</row>
    <row r="83" ht="15.75" customHeight="1"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</row>
    <row r="84" ht="15.75" customHeight="1"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</row>
    <row r="85" ht="15.75" customHeight="1"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</row>
    <row r="86" ht="15.75" customHeight="1"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</row>
    <row r="87" ht="15.75" customHeight="1"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</row>
    <row r="88" ht="15.75" customHeight="1"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</row>
    <row r="89" ht="15.75" customHeight="1"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</row>
    <row r="90" ht="15.75" customHeight="1"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</row>
    <row r="91" ht="15.75" customHeight="1"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</row>
    <row r="92" ht="15.75" customHeight="1"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</row>
    <row r="93" ht="15.75" customHeight="1"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</row>
    <row r="94" ht="15.75" customHeight="1"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</row>
    <row r="95" ht="15.75" customHeight="1"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</row>
    <row r="96" ht="15.75" customHeight="1"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</row>
    <row r="97" ht="15.75" customHeight="1"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</row>
    <row r="98" ht="15.75" customHeight="1"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</row>
    <row r="99" ht="15.75" customHeight="1"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</row>
    <row r="100" ht="15.75" customHeight="1"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</row>
    <row r="101" ht="15.75" customHeight="1"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</row>
    <row r="102" ht="15.75" customHeight="1"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</row>
    <row r="103" ht="15.75" customHeight="1"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</row>
    <row r="104" ht="15.75" customHeight="1"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</row>
    <row r="105" ht="15.75" customHeight="1"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</row>
    <row r="106" ht="15.75" customHeight="1"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</row>
    <row r="107" ht="15.75" customHeight="1"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</row>
    <row r="108" ht="15.75" customHeight="1"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</row>
    <row r="109" ht="15.75" customHeight="1"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</row>
    <row r="110" ht="15.75" customHeight="1"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</row>
    <row r="111" ht="15.75" customHeight="1"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</row>
    <row r="112" ht="15.75" customHeight="1"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</row>
    <row r="113" ht="15.75" customHeight="1"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</row>
    <row r="114" ht="15.75" customHeight="1"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</row>
    <row r="115" ht="15.75" customHeight="1"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</row>
    <row r="116" ht="15.75" customHeight="1"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</row>
    <row r="117" ht="15.75" customHeight="1"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</row>
    <row r="118" ht="15.75" customHeight="1"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</row>
    <row r="119" ht="15.75" customHeight="1"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</row>
    <row r="120" ht="15.75" customHeight="1"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</row>
    <row r="121" ht="15.75" customHeight="1"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</row>
    <row r="122" ht="15.75" customHeight="1"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</row>
    <row r="123" ht="15.75" customHeight="1"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</row>
    <row r="124" ht="15.75" customHeight="1"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</row>
    <row r="125" ht="15.75" customHeight="1"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</row>
    <row r="126" ht="15.75" customHeight="1"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</row>
    <row r="127" ht="15.75" customHeight="1"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</row>
    <row r="128" ht="15.75" customHeight="1"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</row>
    <row r="129" ht="15.75" customHeight="1"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</row>
    <row r="130" ht="15.75" customHeight="1"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</row>
    <row r="131" ht="15.75" customHeight="1"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</row>
    <row r="132" ht="15.75" customHeight="1"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</row>
    <row r="133" ht="15.75" customHeight="1"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</row>
    <row r="134" ht="15.75" customHeight="1"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</row>
    <row r="135" ht="15.75" customHeight="1"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</row>
    <row r="136" ht="15.75" customHeight="1"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</row>
    <row r="137" ht="15.75" customHeight="1"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</row>
    <row r="138" ht="15.75" customHeight="1"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</row>
    <row r="139" ht="15.75" customHeight="1"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</row>
    <row r="140" ht="15.75" customHeight="1"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</row>
    <row r="141" ht="15.75" customHeight="1"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</row>
    <row r="142" ht="15.75" customHeight="1"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</row>
    <row r="143" ht="15.75" customHeight="1"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</row>
    <row r="144" ht="15.75" customHeight="1"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</row>
    <row r="145" ht="15.75" customHeight="1"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</row>
    <row r="146" ht="15.75" customHeight="1"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</row>
    <row r="147" ht="15.75" customHeight="1"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</row>
    <row r="148" ht="15.75" customHeight="1"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</row>
    <row r="149" ht="15.75" customHeight="1"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</row>
    <row r="150" ht="15.75" customHeight="1"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</row>
    <row r="151" ht="15.75" customHeight="1"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</row>
    <row r="152" ht="15.75" customHeight="1"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</row>
    <row r="153" ht="15.75" customHeight="1"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</row>
    <row r="154" ht="15.75" customHeight="1"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</row>
    <row r="155" ht="15.75" customHeight="1"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</row>
    <row r="156" ht="15.75" customHeight="1"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</row>
    <row r="157" ht="15.75" customHeight="1"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</row>
    <row r="158" ht="15.75" customHeight="1"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</row>
    <row r="159" ht="15.75" customHeight="1"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</row>
    <row r="160" ht="15.75" customHeight="1"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</row>
    <row r="161" ht="15.75" customHeight="1"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</row>
    <row r="162" ht="15.75" customHeight="1"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</row>
    <row r="163" ht="15.75" customHeight="1"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</row>
    <row r="164" ht="15.75" customHeight="1"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</row>
    <row r="165" ht="15.75" customHeight="1"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</row>
    <row r="166" ht="15.75" customHeight="1"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</row>
    <row r="167" ht="15.75" customHeight="1"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</row>
    <row r="168" ht="15.75" customHeight="1"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</row>
    <row r="169" ht="15.75" customHeight="1"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</row>
    <row r="170" ht="15.75" customHeight="1"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</row>
    <row r="171" ht="15.75" customHeight="1"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</row>
    <row r="172" ht="15.75" customHeight="1"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</row>
    <row r="173" ht="15.75" customHeight="1"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</row>
    <row r="174" ht="15.75" customHeight="1"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</row>
    <row r="175" ht="15.75" customHeight="1"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</row>
    <row r="176" ht="15.75" customHeight="1"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</row>
    <row r="177" ht="15.75" customHeight="1"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</row>
    <row r="178" ht="15.75" customHeight="1"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</row>
    <row r="179" ht="15.75" customHeight="1"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</row>
    <row r="180" ht="15.75" customHeight="1"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</row>
    <row r="181" ht="15.75" customHeight="1"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</row>
    <row r="182" ht="15.75" customHeight="1"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</row>
    <row r="183" ht="15.75" customHeight="1"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</row>
    <row r="184" ht="15.75" customHeight="1"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</row>
    <row r="185" ht="15.75" customHeight="1"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</row>
    <row r="186" ht="15.75" customHeight="1"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</row>
    <row r="187" ht="15.75" customHeight="1"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</row>
    <row r="188" ht="15.75" customHeight="1"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</row>
    <row r="189" ht="15.75" customHeight="1"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</row>
    <row r="190" ht="15.75" customHeight="1"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</row>
    <row r="191" ht="15.75" customHeight="1"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</row>
    <row r="192" ht="15.75" customHeight="1"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</row>
    <row r="193" ht="15.75" customHeight="1"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</row>
    <row r="194" ht="15.75" customHeight="1"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</row>
    <row r="195" ht="15.75" customHeight="1"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</row>
    <row r="196" ht="15.75" customHeight="1"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</row>
    <row r="197" ht="15.75" customHeight="1"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</row>
    <row r="198" ht="15.75" customHeight="1"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</row>
    <row r="199" ht="15.75" customHeight="1"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</row>
    <row r="200" ht="15.75" customHeight="1"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</row>
    <row r="201" ht="15.75" customHeight="1"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</row>
    <row r="202" ht="15.75" customHeight="1"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</row>
    <row r="203" ht="15.75" customHeight="1"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</row>
    <row r="204" ht="15.75" customHeight="1"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</row>
    <row r="205" ht="15.75" customHeight="1"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</row>
    <row r="206" ht="15.75" customHeight="1"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</row>
    <row r="207" ht="15.75" customHeight="1"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</row>
    <row r="208" ht="15.75" customHeight="1"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</row>
    <row r="209" ht="15.75" customHeight="1"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</row>
    <row r="210" ht="15.75" customHeight="1"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</row>
    <row r="211" ht="15.75" customHeight="1"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</row>
    <row r="212" ht="15.75" customHeight="1"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</row>
    <row r="213" ht="15.75" customHeight="1"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</row>
    <row r="214" ht="15.75" customHeight="1"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</row>
    <row r="215" ht="15.75" customHeight="1"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</row>
    <row r="216" ht="15.75" customHeight="1"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</row>
    <row r="217" ht="15.75" customHeight="1"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</row>
    <row r="218" ht="15.75" customHeight="1"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</row>
    <row r="219" ht="15.75" customHeight="1"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</row>
    <row r="220" ht="15.75" customHeight="1"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</row>
    <row r="221" ht="15.75" customHeight="1"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</row>
    <row r="222" ht="15.75" customHeight="1"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</row>
    <row r="223" ht="15.75" customHeight="1"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</row>
    <row r="224" ht="15.75" customHeight="1"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</row>
    <row r="225" ht="15.75" customHeight="1"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</row>
    <row r="226" ht="15.75" customHeight="1"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</row>
    <row r="227" ht="15.75" customHeight="1"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</row>
    <row r="228" ht="15.75" customHeight="1"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</row>
    <row r="229" ht="15.75" customHeight="1"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</row>
    <row r="230" ht="15.75" customHeight="1"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</row>
    <row r="231" ht="15.75" customHeight="1"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</row>
    <row r="232" ht="15.75" customHeight="1"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</row>
    <row r="233" ht="15.75" customHeight="1"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</row>
    <row r="234" ht="15.75" customHeight="1"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</row>
    <row r="235" ht="15.75" customHeight="1"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</row>
    <row r="236" ht="15.75" customHeight="1"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</row>
    <row r="237" ht="15.75" customHeight="1"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</row>
    <row r="238" ht="15.75" customHeight="1"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</row>
    <row r="239" ht="15.75" customHeight="1"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</row>
    <row r="240" ht="15.75" customHeight="1"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</row>
    <row r="241" ht="15.75" customHeight="1"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</row>
    <row r="242" ht="15.75" customHeight="1"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</row>
    <row r="243" ht="15.75" customHeight="1"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</row>
    <row r="244" ht="15.75" customHeight="1"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</row>
    <row r="245" ht="15.75" customHeight="1"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</row>
    <row r="246" ht="15.75" customHeight="1"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</row>
    <row r="247" ht="15.75" customHeight="1"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</row>
    <row r="248" ht="15.75" customHeight="1"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</row>
    <row r="249" ht="15.75" customHeight="1"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</row>
    <row r="250" ht="15.75" customHeight="1"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</row>
    <row r="251" ht="15.75" customHeight="1"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</row>
    <row r="252" ht="15.75" customHeight="1"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</row>
    <row r="253" ht="15.75" customHeight="1"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</row>
    <row r="254" ht="15.75" customHeight="1"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</row>
    <row r="255" ht="15.75" customHeight="1"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</row>
    <row r="256" ht="15.75" customHeight="1"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</row>
    <row r="257" ht="15.75" customHeight="1"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</row>
    <row r="258" ht="15.75" customHeight="1"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</row>
    <row r="259" ht="15.75" customHeight="1"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</row>
    <row r="260" ht="15.75" customHeight="1"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</row>
    <row r="261" ht="15.75" customHeight="1"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</row>
    <row r="262" ht="15.75" customHeight="1"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</row>
    <row r="263" ht="15.75" customHeight="1"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</row>
    <row r="264" ht="15.75" customHeight="1"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</row>
    <row r="265" ht="15.75" customHeight="1"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</row>
    <row r="266" ht="15.75" customHeight="1"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</row>
    <row r="267" ht="15.75" customHeight="1"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</row>
    <row r="268" ht="15.75" customHeight="1"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</row>
    <row r="269" ht="15.75" customHeight="1"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</row>
    <row r="270" ht="15.75" customHeight="1"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</row>
    <row r="271" ht="15.75" customHeight="1"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</row>
    <row r="272" ht="15.75" customHeight="1"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</row>
    <row r="273" ht="15.75" customHeight="1"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</row>
    <row r="274" ht="15.75" customHeight="1"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</row>
    <row r="275" ht="15.75" customHeight="1"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</row>
    <row r="276" ht="15.75" customHeight="1"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</row>
    <row r="277" ht="15.75" customHeight="1"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</row>
    <row r="278" ht="15.75" customHeight="1"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</row>
    <row r="279" ht="15.75" customHeight="1"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</row>
    <row r="280" ht="15.75" customHeight="1"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</row>
    <row r="281" ht="15.75" customHeight="1"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</row>
    <row r="282" ht="15.75" customHeight="1"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</row>
    <row r="283" ht="15.75" customHeight="1"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</row>
    <row r="284" ht="15.75" customHeight="1"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</row>
    <row r="285" ht="15.75" customHeight="1"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</row>
    <row r="286" ht="15.75" customHeight="1"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</row>
    <row r="287" ht="15.75" customHeight="1"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</row>
    <row r="288" ht="15.75" customHeight="1"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</row>
    <row r="289" ht="15.75" customHeight="1"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</row>
    <row r="290" ht="15.75" customHeight="1"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</row>
    <row r="291" ht="15.75" customHeight="1"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</row>
    <row r="292" ht="15.75" customHeight="1"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</row>
    <row r="293" ht="15.75" customHeight="1"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</row>
    <row r="294" ht="15.75" customHeight="1"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</row>
    <row r="295" ht="15.75" customHeight="1"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</row>
    <row r="296" ht="15.75" customHeight="1"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</row>
    <row r="297" ht="15.75" customHeight="1"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</row>
    <row r="298" ht="15.75" customHeight="1"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</row>
    <row r="299" ht="15.75" customHeight="1"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</row>
    <row r="300" ht="15.75" customHeight="1"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</row>
    <row r="301" ht="15.75" customHeight="1"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</row>
    <row r="302" ht="15.75" customHeight="1"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</row>
    <row r="303" ht="15.75" customHeight="1"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</row>
    <row r="304" ht="15.75" customHeight="1"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</row>
    <row r="305" ht="15.75" customHeight="1"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</row>
    <row r="306" ht="15.75" customHeight="1"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</row>
    <row r="307" ht="15.75" customHeight="1"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</row>
    <row r="308" ht="15.75" customHeight="1"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</row>
    <row r="309" ht="15.75" customHeight="1"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</row>
    <row r="310" ht="15.75" customHeight="1"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</row>
    <row r="311" ht="15.75" customHeight="1"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</row>
    <row r="312" ht="15.75" customHeight="1"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</row>
    <row r="313" ht="15.75" customHeight="1"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</row>
    <row r="314" ht="15.75" customHeight="1"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</row>
    <row r="315" ht="15.75" customHeight="1"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</row>
    <row r="316" ht="15.75" customHeight="1"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</row>
    <row r="317" ht="15.75" customHeight="1"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</row>
    <row r="318" ht="15.75" customHeight="1"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</row>
    <row r="319" ht="15.75" customHeight="1"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</row>
    <row r="320" ht="15.75" customHeight="1"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</row>
    <row r="321" ht="15.75" customHeight="1"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</row>
    <row r="322" ht="15.75" customHeight="1"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</row>
    <row r="323" ht="15.75" customHeight="1"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</row>
    <row r="324" ht="15.75" customHeight="1"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</row>
    <row r="325" ht="15.75" customHeight="1"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</row>
    <row r="326" ht="15.75" customHeight="1"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</row>
    <row r="327" ht="15.75" customHeight="1"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</row>
    <row r="328" ht="15.75" customHeight="1"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</row>
    <row r="329" ht="15.75" customHeight="1"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</row>
    <row r="330" ht="15.75" customHeight="1"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</row>
    <row r="331" ht="15.75" customHeight="1"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</row>
    <row r="332" ht="15.75" customHeight="1"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</row>
    <row r="333" ht="15.75" customHeight="1"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</row>
    <row r="334" ht="15.75" customHeight="1"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</row>
    <row r="335" ht="15.75" customHeight="1"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</row>
    <row r="336" ht="15.75" customHeight="1"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</row>
    <row r="337" ht="15.75" customHeight="1"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</row>
    <row r="338" ht="15.75" customHeight="1"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</row>
    <row r="339" ht="15.75" customHeight="1"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</row>
    <row r="340" ht="15.75" customHeight="1"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</row>
    <row r="341" ht="15.75" customHeight="1"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</row>
    <row r="342" ht="15.75" customHeight="1"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</row>
    <row r="343" ht="15.75" customHeight="1"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</row>
    <row r="344" ht="15.75" customHeight="1"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</row>
    <row r="345" ht="15.75" customHeight="1"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</row>
    <row r="346" ht="15.75" customHeight="1"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</row>
    <row r="347" ht="15.75" customHeight="1"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</row>
    <row r="348" ht="15.75" customHeight="1"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</row>
    <row r="349" ht="15.75" customHeight="1"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</row>
    <row r="350" ht="15.75" customHeight="1"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</row>
    <row r="351" ht="15.75" customHeight="1"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</row>
    <row r="352" ht="15.75" customHeight="1"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</row>
    <row r="353" ht="15.75" customHeight="1"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</row>
    <row r="354" ht="15.75" customHeight="1"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</row>
    <row r="355" ht="15.75" customHeight="1"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</row>
    <row r="356" ht="15.75" customHeight="1"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</row>
    <row r="357" ht="15.75" customHeight="1"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</row>
    <row r="358" ht="15.75" customHeight="1"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</row>
    <row r="359" ht="15.75" customHeight="1"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</row>
    <row r="360" ht="15.75" customHeight="1"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</row>
    <row r="361" ht="15.75" customHeight="1"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</row>
    <row r="362" ht="15.75" customHeight="1"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</row>
    <row r="363" ht="15.75" customHeight="1"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</row>
    <row r="364" ht="15.75" customHeight="1"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</row>
    <row r="365" ht="15.75" customHeight="1"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</row>
    <row r="366" ht="15.75" customHeight="1"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</row>
    <row r="367" ht="15.75" customHeight="1"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</row>
    <row r="368" ht="15.75" customHeight="1"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</row>
    <row r="369" ht="15.75" customHeight="1"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</row>
    <row r="370" ht="15.75" customHeight="1"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</row>
    <row r="371" ht="15.75" customHeight="1"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</row>
    <row r="372" ht="15.75" customHeight="1"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</row>
    <row r="373" ht="15.75" customHeight="1"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</row>
    <row r="374" ht="15.75" customHeight="1"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</row>
    <row r="375" ht="15.75" customHeight="1"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</row>
    <row r="376" ht="15.75" customHeight="1"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</row>
    <row r="377" ht="15.75" customHeight="1"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</row>
    <row r="378" ht="15.75" customHeight="1"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</row>
    <row r="379" ht="15.75" customHeight="1"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</row>
    <row r="380" ht="15.75" customHeight="1"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</row>
    <row r="381" ht="15.75" customHeight="1"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</row>
    <row r="382" ht="15.75" customHeight="1"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</row>
    <row r="383" ht="15.75" customHeight="1"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</row>
    <row r="384" ht="15.75" customHeight="1"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</row>
    <row r="385" ht="15.75" customHeight="1"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</row>
    <row r="386" ht="15.75" customHeight="1"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</row>
    <row r="387" ht="15.75" customHeight="1"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</row>
    <row r="388" ht="15.75" customHeight="1"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</row>
    <row r="389" ht="15.75" customHeight="1"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</row>
    <row r="390" ht="15.75" customHeight="1"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</row>
    <row r="391" ht="15.75" customHeight="1"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</row>
    <row r="392" ht="15.75" customHeight="1"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</row>
    <row r="393" ht="15.75" customHeight="1"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</row>
    <row r="394" ht="15.75" customHeight="1"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</row>
    <row r="395" ht="15.75" customHeight="1"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</row>
    <row r="396" ht="15.75" customHeight="1"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</row>
    <row r="397" ht="15.75" customHeight="1"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</row>
    <row r="398" ht="15.75" customHeight="1"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</row>
    <row r="399" ht="15.75" customHeight="1"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</row>
    <row r="400" ht="15.75" customHeight="1"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</row>
    <row r="401" ht="15.75" customHeight="1"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</row>
    <row r="402" ht="15.75" customHeight="1"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</row>
    <row r="403" ht="15.75" customHeight="1"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</row>
    <row r="404" ht="15.75" customHeight="1"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</row>
    <row r="405" ht="15.75" customHeight="1"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</row>
    <row r="406" ht="15.75" customHeight="1"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</row>
    <row r="407" ht="15.75" customHeight="1"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</row>
    <row r="408" ht="15.75" customHeight="1"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</row>
    <row r="409" ht="15.75" customHeight="1"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</row>
    <row r="410" ht="15.75" customHeight="1"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</row>
    <row r="411" ht="15.75" customHeight="1"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</row>
    <row r="412" ht="15.75" customHeight="1"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</row>
    <row r="413" ht="15.75" customHeight="1"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</row>
    <row r="414" ht="15.75" customHeight="1"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</row>
    <row r="415" ht="15.75" customHeight="1"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</row>
    <row r="416" ht="15.75" customHeight="1"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</row>
    <row r="417" ht="15.75" customHeight="1"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</row>
    <row r="418" ht="15.75" customHeight="1"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</row>
    <row r="419" ht="15.75" customHeight="1"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</row>
    <row r="420" ht="15.75" customHeight="1"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</row>
    <row r="421" ht="15.75" customHeight="1"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</row>
    <row r="422" ht="15.75" customHeight="1"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</row>
    <row r="423" ht="15.75" customHeight="1"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</row>
    <row r="424" ht="15.75" customHeight="1"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</row>
    <row r="425" ht="15.75" customHeight="1"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</row>
    <row r="426" ht="15.75" customHeight="1"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</row>
    <row r="427" ht="15.75" customHeight="1"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</row>
    <row r="428" ht="15.75" customHeight="1"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</row>
    <row r="429" ht="15.75" customHeight="1"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</row>
    <row r="430" ht="15.75" customHeight="1"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</row>
    <row r="431" ht="15.75" customHeight="1"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</row>
    <row r="432" ht="15.75" customHeight="1"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</row>
    <row r="433" ht="15.75" customHeight="1"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</row>
    <row r="434" ht="15.75" customHeight="1"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</row>
    <row r="435" ht="15.75" customHeight="1"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</row>
    <row r="436" ht="15.75" customHeight="1"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</row>
    <row r="437" ht="15.75" customHeight="1"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</row>
    <row r="438" ht="15.75" customHeight="1"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</row>
    <row r="439" ht="15.75" customHeight="1"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</row>
    <row r="440" ht="15.75" customHeight="1"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</row>
    <row r="441" ht="15.75" customHeight="1"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</row>
    <row r="442" ht="15.75" customHeight="1"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</row>
    <row r="443" ht="15.75" customHeight="1"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</row>
    <row r="444" ht="15.75" customHeight="1"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</row>
    <row r="445" ht="15.75" customHeight="1"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</row>
    <row r="446" ht="15.75" customHeight="1"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</row>
    <row r="447" ht="15.75" customHeight="1"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</row>
    <row r="448" ht="15.75" customHeight="1"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</row>
    <row r="449" ht="15.75" customHeight="1"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</row>
    <row r="450" ht="15.75" customHeight="1"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</row>
    <row r="451" ht="15.75" customHeight="1"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</row>
    <row r="452" ht="15.75" customHeight="1"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</row>
    <row r="453" ht="15.75" customHeight="1"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</row>
    <row r="454" ht="15.75" customHeight="1"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</row>
    <row r="455" ht="15.75" customHeight="1"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</row>
    <row r="456" ht="15.75" customHeight="1"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</row>
    <row r="457" ht="15.75" customHeight="1"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</row>
    <row r="458" ht="15.75" customHeight="1"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</row>
    <row r="459" ht="15.75" customHeight="1"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</row>
    <row r="460" ht="15.75" customHeight="1"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</row>
    <row r="461" ht="15.75" customHeight="1"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</row>
    <row r="462" ht="15.75" customHeight="1"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</row>
    <row r="463" ht="15.75" customHeight="1"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</row>
    <row r="464" ht="15.75" customHeight="1"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</row>
    <row r="465" ht="15.75" customHeight="1"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</row>
    <row r="466" ht="15.75" customHeight="1"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</row>
    <row r="467" ht="15.75" customHeight="1"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</row>
    <row r="468" ht="15.75" customHeight="1"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</row>
    <row r="469" ht="15.75" customHeight="1"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</row>
    <row r="470" ht="15.75" customHeight="1"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</row>
    <row r="471" ht="15.75" customHeight="1"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</row>
    <row r="472" ht="15.75" customHeight="1"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</row>
    <row r="473" ht="15.75" customHeight="1"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</row>
    <row r="474" ht="15.75" customHeight="1"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</row>
    <row r="475" ht="15.75" customHeight="1"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</row>
    <row r="476" ht="15.75" customHeight="1"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</row>
    <row r="477" ht="15.75" customHeight="1"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</row>
    <row r="478" ht="15.75" customHeight="1"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</row>
    <row r="479" ht="15.75" customHeight="1"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</row>
    <row r="480" ht="15.75" customHeight="1"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</row>
    <row r="481" ht="15.75" customHeight="1"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</row>
    <row r="482" ht="15.75" customHeight="1"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</row>
    <row r="483" ht="15.75" customHeight="1"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</row>
    <row r="484" ht="15.75" customHeight="1"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</row>
    <row r="485" ht="15.75" customHeight="1"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</row>
    <row r="486" ht="15.75" customHeight="1"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</row>
    <row r="487" ht="15.75" customHeight="1"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</row>
    <row r="488" ht="15.75" customHeight="1"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</row>
    <row r="489" ht="15.75" customHeight="1"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</row>
    <row r="490" ht="15.75" customHeight="1"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</row>
    <row r="491" ht="15.75" customHeight="1"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</row>
    <row r="492" ht="15.75" customHeight="1"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</row>
    <row r="493" ht="15.75" customHeight="1"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</row>
    <row r="494" ht="15.75" customHeight="1"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</row>
    <row r="495" ht="15.75" customHeight="1"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</row>
    <row r="496" ht="15.75" customHeight="1"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</row>
    <row r="497" ht="15.75" customHeight="1"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</row>
    <row r="498" ht="15.75" customHeight="1"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</row>
    <row r="499" ht="15.75" customHeight="1"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</row>
    <row r="500" ht="15.75" customHeight="1"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</row>
    <row r="501" ht="15.75" customHeight="1"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</row>
    <row r="502" ht="15.75" customHeight="1"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</row>
    <row r="503" ht="15.75" customHeight="1"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</row>
    <row r="504" ht="15.75" customHeight="1"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</row>
    <row r="505" ht="15.75" customHeight="1"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</row>
    <row r="506" ht="15.75" customHeight="1"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</row>
    <row r="507" ht="15.75" customHeight="1"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</row>
    <row r="508" ht="15.75" customHeight="1"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</row>
    <row r="509" ht="15.75" customHeight="1"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</row>
    <row r="510" ht="15.75" customHeight="1"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</row>
    <row r="511" ht="15.75" customHeight="1"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</row>
    <row r="512" ht="15.75" customHeight="1"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</row>
    <row r="513" ht="15.75" customHeight="1"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</row>
    <row r="514" ht="15.75" customHeight="1"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</row>
    <row r="515" ht="15.75" customHeight="1"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</row>
    <row r="516" ht="15.75" customHeight="1"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</row>
    <row r="517" ht="15.75" customHeight="1"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</row>
    <row r="518" ht="15.75" customHeight="1"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</row>
    <row r="519" ht="15.75" customHeight="1"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</row>
    <row r="520" ht="15.75" customHeight="1"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</row>
    <row r="521" ht="15.75" customHeight="1"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</row>
    <row r="522" ht="15.75" customHeight="1"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</row>
    <row r="523" ht="15.75" customHeight="1"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</row>
    <row r="524" ht="15.75" customHeight="1"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</row>
    <row r="525" ht="15.75" customHeight="1"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</row>
    <row r="526" ht="15.75" customHeight="1"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</row>
    <row r="527" ht="15.75" customHeight="1"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</row>
    <row r="528" ht="15.75" customHeight="1"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</row>
    <row r="529" ht="15.75" customHeight="1"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</row>
    <row r="530" ht="15.75" customHeight="1"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</row>
    <row r="531" ht="15.75" customHeight="1"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</row>
    <row r="532" ht="15.75" customHeight="1"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</row>
    <row r="533" ht="15.75" customHeight="1"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</row>
    <row r="534" ht="15.75" customHeight="1"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</row>
    <row r="535" ht="15.75" customHeight="1"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</row>
    <row r="536" ht="15.75" customHeight="1"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</row>
    <row r="537" ht="15.75" customHeight="1"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</row>
    <row r="538" ht="15.75" customHeight="1"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</row>
    <row r="539" ht="15.75" customHeight="1"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</row>
    <row r="540" ht="15.75" customHeight="1"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</row>
    <row r="541" ht="15.75" customHeight="1"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</row>
    <row r="542" ht="15.75" customHeight="1"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</row>
    <row r="543" ht="15.75" customHeight="1"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</row>
    <row r="544" ht="15.75" customHeight="1"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</row>
    <row r="545" ht="15.75" customHeight="1"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</row>
    <row r="546" ht="15.75" customHeight="1"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</row>
    <row r="547" ht="15.75" customHeight="1"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</row>
    <row r="548" ht="15.75" customHeight="1"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</row>
    <row r="549" ht="15.75" customHeight="1"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</row>
    <row r="550" ht="15.75" customHeight="1"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</row>
    <row r="551" ht="15.75" customHeight="1"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</row>
    <row r="552" ht="15.75" customHeight="1"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</row>
    <row r="553" ht="15.75" customHeight="1"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</row>
    <row r="554" ht="15.75" customHeight="1"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</row>
    <row r="555" ht="15.75" customHeight="1"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</row>
    <row r="556" ht="15.75" customHeight="1"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</row>
    <row r="557" ht="15.75" customHeight="1"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</row>
    <row r="558" ht="15.75" customHeight="1"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</row>
    <row r="559" ht="15.75" customHeight="1"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</row>
    <row r="560" ht="15.75" customHeight="1"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</row>
    <row r="561" ht="15.75" customHeight="1"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</row>
    <row r="562" ht="15.75" customHeight="1"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</row>
    <row r="563" ht="15.75" customHeight="1"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</row>
    <row r="564" ht="15.75" customHeight="1"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</row>
    <row r="565" ht="15.75" customHeight="1"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</row>
    <row r="566" ht="15.75" customHeight="1"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</row>
    <row r="567" ht="15.75" customHeight="1"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</row>
    <row r="568" ht="15.75" customHeight="1"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</row>
    <row r="569" ht="15.75" customHeight="1"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</row>
    <row r="570" ht="15.75" customHeight="1"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</row>
    <row r="571" ht="15.75" customHeight="1"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</row>
    <row r="572" ht="15.75" customHeight="1"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</row>
    <row r="573" ht="15.75" customHeight="1"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</row>
    <row r="574" ht="15.75" customHeight="1"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</row>
    <row r="575" ht="15.75" customHeight="1"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</row>
    <row r="576" ht="15.75" customHeight="1"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</row>
    <row r="577" ht="15.75" customHeight="1"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</row>
    <row r="578" ht="15.75" customHeight="1"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</row>
    <row r="579" ht="15.75" customHeight="1"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</row>
    <row r="580" ht="15.75" customHeight="1"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</row>
    <row r="581" ht="15.75" customHeight="1"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</row>
    <row r="582" ht="15.75" customHeight="1"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</row>
    <row r="583" ht="15.75" customHeight="1"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</row>
    <row r="584" ht="15.75" customHeight="1"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</row>
    <row r="585" ht="15.75" customHeight="1"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</row>
    <row r="586" ht="15.75" customHeight="1"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</row>
    <row r="587" ht="15.75" customHeight="1"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</row>
    <row r="588" ht="15.75" customHeight="1"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</row>
    <row r="589" ht="15.75" customHeight="1"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</row>
    <row r="590" ht="15.75" customHeight="1"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</row>
    <row r="591" ht="15.75" customHeight="1"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</row>
    <row r="592" ht="15.75" customHeight="1"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</row>
    <row r="593" ht="15.75" customHeight="1"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</row>
    <row r="594" ht="15.75" customHeight="1"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</row>
    <row r="595" ht="15.75" customHeight="1"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</row>
    <row r="596" ht="15.75" customHeight="1"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</row>
    <row r="597" ht="15.75" customHeight="1"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</row>
    <row r="598" ht="15.75" customHeight="1"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</row>
    <row r="599" ht="15.75" customHeight="1"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</row>
    <row r="600" ht="15.75" customHeight="1"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</row>
    <row r="601" ht="15.75" customHeight="1"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</row>
    <row r="602" ht="15.75" customHeight="1"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</row>
    <row r="603" ht="15.75" customHeight="1"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</row>
    <row r="604" ht="15.75" customHeight="1"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</row>
    <row r="605" ht="15.75" customHeight="1"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</row>
    <row r="606" ht="15.75" customHeight="1"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</row>
    <row r="607" ht="15.75" customHeight="1"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</row>
    <row r="608" ht="15.75" customHeight="1"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</row>
    <row r="609" ht="15.75" customHeight="1"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</row>
    <row r="610" ht="15.75" customHeight="1"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</row>
    <row r="611" ht="15.75" customHeight="1"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</row>
    <row r="612" ht="15.75" customHeight="1"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</row>
    <row r="613" ht="15.75" customHeight="1"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</row>
    <row r="614" ht="15.75" customHeight="1"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</row>
    <row r="615" ht="15.75" customHeight="1"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</row>
    <row r="616" ht="15.75" customHeight="1"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</row>
    <row r="617" ht="15.75" customHeight="1"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</row>
    <row r="618" ht="15.75" customHeight="1"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</row>
    <row r="619" ht="15.75" customHeight="1"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</row>
    <row r="620" ht="15.75" customHeight="1"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</row>
    <row r="621" ht="15.75" customHeight="1"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</row>
    <row r="622" ht="15.75" customHeight="1"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</row>
    <row r="623" ht="15.75" customHeight="1"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</row>
    <row r="624" ht="15.75" customHeight="1"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</row>
    <row r="625" ht="15.75" customHeight="1"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</row>
    <row r="626" ht="15.75" customHeight="1"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</row>
    <row r="627" ht="15.75" customHeight="1"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</row>
    <row r="628" ht="15.75" customHeight="1"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</row>
    <row r="629" ht="15.75" customHeight="1"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</row>
    <row r="630" ht="15.75" customHeight="1"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</row>
    <row r="631" ht="15.75" customHeight="1"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</row>
    <row r="632" ht="15.75" customHeight="1"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</row>
    <row r="633" ht="15.75" customHeight="1"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</row>
    <row r="634" ht="15.75" customHeight="1"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</row>
    <row r="635" ht="15.75" customHeight="1"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</row>
    <row r="636" ht="15.75" customHeight="1"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</row>
    <row r="637" ht="15.75" customHeight="1"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</row>
    <row r="638" ht="15.75" customHeight="1"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</row>
    <row r="639" ht="15.75" customHeight="1"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</row>
    <row r="640" ht="15.75" customHeight="1"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</row>
    <row r="641" ht="15.75" customHeight="1"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</row>
    <row r="642" ht="15.75" customHeight="1"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</row>
    <row r="643" ht="15.75" customHeight="1"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</row>
    <row r="644" ht="15.75" customHeight="1"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</row>
    <row r="645" ht="15.75" customHeight="1"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</row>
    <row r="646" ht="15.75" customHeight="1"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</row>
    <row r="647" ht="15.75" customHeight="1"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</row>
    <row r="648" ht="15.75" customHeight="1"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</row>
    <row r="649" ht="15.75" customHeight="1"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</row>
    <row r="650" ht="15.75" customHeight="1"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</row>
    <row r="651" ht="15.75" customHeight="1"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</row>
    <row r="652" ht="15.75" customHeight="1"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</row>
    <row r="653" ht="15.75" customHeight="1"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</row>
    <row r="654" ht="15.75" customHeight="1"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</row>
    <row r="655" ht="15.75" customHeight="1"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</row>
    <row r="656" ht="15.75" customHeight="1"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</row>
    <row r="657" ht="15.75" customHeight="1"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</row>
    <row r="658" ht="15.75" customHeight="1"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</row>
    <row r="659" ht="15.75" customHeight="1"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</row>
    <row r="660" ht="15.75" customHeight="1"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</row>
    <row r="661" ht="15.75" customHeight="1"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</row>
    <row r="662" ht="15.75" customHeight="1"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</row>
    <row r="663" ht="15.75" customHeight="1"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</row>
    <row r="664" ht="15.75" customHeight="1"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</row>
    <row r="665" ht="15.75" customHeight="1"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</row>
    <row r="666" ht="15.75" customHeight="1"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</row>
    <row r="667" ht="15.75" customHeight="1"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</row>
    <row r="668" ht="15.75" customHeight="1"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</row>
    <row r="669" ht="15.75" customHeight="1"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</row>
    <row r="670" ht="15.75" customHeight="1"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</row>
    <row r="671" ht="15.75" customHeight="1"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</row>
    <row r="672" ht="15.75" customHeight="1"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</row>
    <row r="673" ht="15.75" customHeight="1"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</row>
    <row r="674" ht="15.75" customHeight="1"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</row>
    <row r="675" ht="15.75" customHeight="1"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</row>
    <row r="676" ht="15.75" customHeight="1"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</row>
    <row r="677" ht="15.75" customHeight="1"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</row>
    <row r="678" ht="15.75" customHeight="1"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</row>
    <row r="679" ht="15.75" customHeight="1"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</row>
    <row r="680" ht="15.75" customHeight="1"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</row>
    <row r="681" ht="15.75" customHeight="1"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</row>
    <row r="682" ht="15.75" customHeight="1"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</row>
    <row r="683" ht="15.75" customHeight="1"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</row>
    <row r="684" ht="15.75" customHeight="1"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</row>
    <row r="685" ht="15.75" customHeight="1"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</row>
    <row r="686" ht="15.75" customHeight="1"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</row>
    <row r="687" ht="15.75" customHeight="1"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</row>
    <row r="688" ht="15.75" customHeight="1"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</row>
    <row r="689" ht="15.75" customHeight="1"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</row>
    <row r="690" ht="15.75" customHeight="1"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</row>
    <row r="691" ht="15.75" customHeight="1"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</row>
    <row r="692" ht="15.75" customHeight="1"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</row>
    <row r="693" ht="15.75" customHeight="1"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</row>
    <row r="694" ht="15.75" customHeight="1"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</row>
    <row r="695" ht="15.75" customHeight="1"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</row>
    <row r="696" ht="15.75" customHeight="1"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</row>
    <row r="697" ht="15.75" customHeight="1"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</row>
    <row r="698" ht="15.75" customHeight="1"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</row>
    <row r="699" ht="15.75" customHeight="1"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</row>
    <row r="700" ht="15.75" customHeight="1"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</row>
    <row r="701" ht="15.75" customHeight="1"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</row>
    <row r="702" ht="15.75" customHeight="1"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</row>
    <row r="703" ht="15.75" customHeight="1"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</row>
    <row r="704" ht="15.75" customHeight="1"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</row>
    <row r="705" ht="15.75" customHeight="1"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</row>
    <row r="706" ht="15.75" customHeight="1"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</row>
    <row r="707" ht="15.75" customHeight="1"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</row>
    <row r="708" ht="15.75" customHeight="1"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</row>
    <row r="709" ht="15.75" customHeight="1"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</row>
    <row r="710" ht="15.75" customHeight="1"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</row>
    <row r="711" ht="15.75" customHeight="1"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</row>
    <row r="712" ht="15.75" customHeight="1"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</row>
    <row r="713" ht="15.75" customHeight="1"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</row>
    <row r="714" ht="15.75" customHeight="1"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</row>
    <row r="715" ht="15.75" customHeight="1"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</row>
    <row r="716" ht="15.75" customHeight="1"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</row>
    <row r="717" ht="15.75" customHeight="1"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</row>
    <row r="718" ht="15.75" customHeight="1"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</row>
    <row r="719" ht="15.75" customHeight="1"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</row>
    <row r="720" ht="15.75" customHeight="1"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</row>
    <row r="721" ht="15.75" customHeight="1"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</row>
    <row r="722" ht="15.75" customHeight="1"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</row>
    <row r="723" ht="15.75" customHeight="1"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</row>
    <row r="724" ht="15.75" customHeight="1"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</row>
    <row r="725" ht="15.75" customHeight="1"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</row>
    <row r="726" ht="15.75" customHeight="1"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</row>
    <row r="727" ht="15.75" customHeight="1"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</row>
    <row r="728" ht="15.75" customHeight="1"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</row>
    <row r="729" ht="15.75" customHeight="1"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</row>
    <row r="730" ht="15.75" customHeight="1"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</row>
    <row r="731" ht="15.75" customHeight="1"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</row>
    <row r="732" ht="15.75" customHeight="1"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</row>
    <row r="733" ht="15.75" customHeight="1"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</row>
    <row r="734" ht="15.75" customHeight="1"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</row>
    <row r="735" ht="15.75" customHeight="1"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</row>
    <row r="736" ht="15.75" customHeight="1"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</row>
    <row r="737" ht="15.75" customHeight="1"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</row>
    <row r="738" ht="15.75" customHeight="1"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</row>
    <row r="739" ht="15.75" customHeight="1"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</row>
    <row r="740" ht="15.75" customHeight="1"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</row>
    <row r="741" ht="15.75" customHeight="1"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</row>
    <row r="742" ht="15.75" customHeight="1"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</row>
    <row r="743" ht="15.75" customHeight="1"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</row>
    <row r="744" ht="15.75" customHeight="1"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</row>
    <row r="745" ht="15.75" customHeight="1"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</row>
    <row r="746" ht="15.75" customHeight="1"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</row>
    <row r="747" ht="15.75" customHeight="1"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</row>
    <row r="748" ht="15.75" customHeight="1"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</row>
    <row r="749" ht="15.75" customHeight="1"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</row>
    <row r="750" ht="15.75" customHeight="1"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</row>
    <row r="751" ht="15.75" customHeight="1"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</row>
    <row r="752" ht="15.75" customHeight="1"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</row>
    <row r="753" ht="15.75" customHeight="1"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</row>
    <row r="754" ht="15.75" customHeight="1"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</row>
    <row r="755" ht="15.75" customHeight="1"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</row>
    <row r="756" ht="15.75" customHeight="1"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</row>
    <row r="757" ht="15.75" customHeight="1"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</row>
    <row r="758" ht="15.75" customHeight="1"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</row>
    <row r="759" ht="15.75" customHeight="1"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</row>
    <row r="760" ht="15.75" customHeight="1"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</row>
    <row r="761" ht="15.75" customHeight="1"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</row>
    <row r="762" ht="15.75" customHeight="1"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</row>
    <row r="763" ht="15.75" customHeight="1"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</row>
    <row r="764" ht="15.75" customHeight="1"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</row>
    <row r="765" ht="15.75" customHeight="1"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</row>
    <row r="766" ht="15.75" customHeight="1"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</row>
    <row r="767" ht="15.75" customHeight="1"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</row>
    <row r="768" ht="15.75" customHeight="1"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</row>
    <row r="769" ht="15.75" customHeight="1"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</row>
    <row r="770" ht="15.75" customHeight="1"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</row>
    <row r="771" ht="15.75" customHeight="1"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</row>
    <row r="772" ht="15.75" customHeight="1"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</row>
    <row r="773" ht="15.75" customHeight="1"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</row>
    <row r="774" ht="15.75" customHeight="1"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</row>
    <row r="775" ht="15.75" customHeight="1"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</row>
    <row r="776" ht="15.75" customHeight="1"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</row>
    <row r="777" ht="15.75" customHeight="1"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</row>
    <row r="778" ht="15.75" customHeight="1"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</row>
    <row r="779" ht="15.75" customHeight="1"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</row>
    <row r="780" ht="15.75" customHeight="1"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</row>
    <row r="781" ht="15.75" customHeight="1"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</row>
    <row r="782" ht="15.75" customHeight="1"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</row>
    <row r="783" ht="15.75" customHeight="1"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</row>
    <row r="784" ht="15.75" customHeight="1"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</row>
    <row r="785" ht="15.75" customHeight="1"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</row>
    <row r="786" ht="15.75" customHeight="1"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</row>
    <row r="787" ht="15.75" customHeight="1"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</row>
    <row r="788" ht="15.75" customHeight="1"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</row>
    <row r="789" ht="15.75" customHeight="1"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</row>
    <row r="790" ht="15.75" customHeight="1"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</row>
    <row r="791" ht="15.75" customHeight="1"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</row>
    <row r="792" ht="15.75" customHeight="1"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</row>
    <row r="793" ht="15.75" customHeight="1"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</row>
    <row r="794" ht="15.75" customHeight="1"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</row>
    <row r="795" ht="15.75" customHeight="1"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</row>
    <row r="796" ht="15.75" customHeight="1"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</row>
    <row r="797" ht="15.75" customHeight="1"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</row>
    <row r="798" ht="15.75" customHeight="1"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</row>
    <row r="799" ht="15.75" customHeight="1"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</row>
    <row r="800" ht="15.75" customHeight="1"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</row>
    <row r="801" ht="15.75" customHeight="1"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</row>
    <row r="802" ht="15.75" customHeight="1"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</row>
    <row r="803" ht="15.75" customHeight="1"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</row>
    <row r="804" ht="15.75" customHeight="1"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</row>
    <row r="805" ht="15.75" customHeight="1"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</row>
    <row r="806" ht="15.75" customHeight="1"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</row>
    <row r="807" ht="15.75" customHeight="1"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</row>
    <row r="808" ht="15.75" customHeight="1"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</row>
    <row r="809" ht="15.75" customHeight="1"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</row>
    <row r="810" ht="15.75" customHeight="1"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</row>
    <row r="811" ht="15.75" customHeight="1"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</row>
    <row r="812" ht="15.75" customHeight="1"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</row>
    <row r="813" ht="15.75" customHeight="1"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</row>
    <row r="814" ht="15.75" customHeight="1"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</row>
    <row r="815" ht="15.75" customHeight="1"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</row>
    <row r="816" ht="15.75" customHeight="1"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</row>
    <row r="817" ht="15.75" customHeight="1"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</row>
    <row r="818" ht="15.75" customHeight="1"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</row>
    <row r="819" ht="15.75" customHeight="1"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</row>
    <row r="820" ht="15.75" customHeight="1"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</row>
    <row r="821" ht="15.75" customHeight="1"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</row>
    <row r="822" ht="15.75" customHeight="1"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</row>
    <row r="823" ht="15.75" customHeight="1"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</row>
    <row r="824" ht="15.75" customHeight="1"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</row>
    <row r="825" ht="15.75" customHeight="1"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</row>
    <row r="826" ht="15.75" customHeight="1"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</row>
    <row r="827" ht="15.75" customHeight="1"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</row>
    <row r="828" ht="15.75" customHeight="1"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</row>
    <row r="829" ht="15.75" customHeight="1"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</row>
    <row r="830" ht="15.75" customHeight="1"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</row>
    <row r="831" ht="15.75" customHeight="1"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</row>
    <row r="832" ht="15.75" customHeight="1"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</row>
    <row r="833" ht="15.75" customHeight="1"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</row>
    <row r="834" ht="15.75" customHeight="1"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</row>
    <row r="835" ht="15.75" customHeight="1"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</row>
    <row r="836" ht="15.75" customHeight="1"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</row>
    <row r="837" ht="15.75" customHeight="1"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</row>
    <row r="838" ht="15.75" customHeight="1"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</row>
    <row r="839" ht="15.75" customHeight="1"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</row>
    <row r="840" ht="15.75" customHeight="1"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</row>
    <row r="841" ht="15.75" customHeight="1"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</row>
    <row r="842" ht="15.75" customHeight="1"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</row>
    <row r="843" ht="15.75" customHeight="1"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</row>
    <row r="844" ht="15.75" customHeight="1"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</row>
    <row r="845" ht="15.75" customHeight="1"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</row>
    <row r="846" ht="15.75" customHeight="1"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</row>
    <row r="847" ht="15.75" customHeight="1"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</row>
    <row r="848" ht="15.75" customHeight="1"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</row>
    <row r="849" ht="15.75" customHeight="1"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</row>
    <row r="850" ht="15.75" customHeight="1"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</row>
    <row r="851" ht="15.75" customHeight="1"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</row>
    <row r="852" ht="15.75" customHeight="1"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</row>
    <row r="853" ht="15.75" customHeight="1"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</row>
    <row r="854" ht="15.75" customHeight="1"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</row>
    <row r="855" ht="15.75" customHeight="1"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</row>
    <row r="856" ht="15.75" customHeight="1"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</row>
    <row r="857" ht="15.75" customHeight="1"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</row>
    <row r="858" ht="15.75" customHeight="1"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</row>
    <row r="859" ht="15.75" customHeight="1"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</row>
    <row r="860" ht="15.75" customHeight="1"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</row>
    <row r="861" ht="15.75" customHeight="1"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</row>
    <row r="862" ht="15.75" customHeight="1"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</row>
    <row r="863" ht="15.75" customHeight="1"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</row>
    <row r="864" ht="15.75" customHeight="1"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</row>
    <row r="865" ht="15.75" customHeight="1"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</row>
    <row r="866" ht="15.75" customHeight="1"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</row>
    <row r="867" ht="15.75" customHeight="1"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</row>
    <row r="868" ht="15.75" customHeight="1"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</row>
    <row r="869" ht="15.75" customHeight="1"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</row>
    <row r="870" ht="15.75" customHeight="1"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</row>
    <row r="871" ht="15.75" customHeight="1"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</row>
    <row r="872" ht="15.75" customHeight="1"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</row>
    <row r="873" ht="15.75" customHeight="1"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</row>
    <row r="874" ht="15.75" customHeight="1"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</row>
    <row r="875" ht="15.75" customHeight="1"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</row>
    <row r="876" ht="15.75" customHeight="1"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</row>
    <row r="877" ht="15.75" customHeight="1"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</row>
    <row r="878" ht="15.75" customHeight="1"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</row>
    <row r="879" ht="15.75" customHeight="1"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</row>
    <row r="880" ht="15.75" customHeight="1"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</row>
    <row r="881" ht="15.75" customHeight="1"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</row>
    <row r="882" ht="15.75" customHeight="1"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</row>
    <row r="883" ht="15.75" customHeight="1"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</row>
    <row r="884" ht="15.75" customHeight="1"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</row>
    <row r="885" ht="15.75" customHeight="1"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</row>
    <row r="886" ht="15.75" customHeight="1"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</row>
    <row r="887" ht="15.75" customHeight="1"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</row>
    <row r="888" ht="15.75" customHeight="1"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</row>
    <row r="889" ht="15.75" customHeight="1"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</row>
    <row r="890" ht="15.75" customHeight="1"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</row>
    <row r="891" ht="15.75" customHeight="1"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</row>
    <row r="892" ht="15.75" customHeight="1"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</row>
    <row r="893" ht="15.75" customHeight="1"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</row>
    <row r="894" ht="15.75" customHeight="1"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</row>
    <row r="895" ht="15.75" customHeight="1"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</row>
    <row r="896" ht="15.75" customHeight="1"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</row>
    <row r="897" ht="15.75" customHeight="1"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</row>
    <row r="898" ht="15.75" customHeight="1"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</row>
    <row r="899" ht="15.75" customHeight="1"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</row>
    <row r="900" ht="15.75" customHeight="1"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</row>
    <row r="901" ht="15.75" customHeight="1"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</row>
    <row r="902" ht="15.75" customHeight="1"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</row>
    <row r="903" ht="15.75" customHeight="1"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</row>
    <row r="904" ht="15.75" customHeight="1"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</row>
    <row r="905" ht="15.75" customHeight="1"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</row>
    <row r="906" ht="15.75" customHeight="1"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</row>
    <row r="907" ht="15.75" customHeight="1"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</row>
    <row r="908" ht="15.75" customHeight="1"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</row>
    <row r="909" ht="15.75" customHeight="1"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</row>
    <row r="910" ht="15.75" customHeight="1"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</row>
    <row r="911" ht="15.75" customHeight="1"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</row>
    <row r="912" ht="15.75" customHeight="1"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</row>
    <row r="913" ht="15.75" customHeight="1"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</row>
    <row r="914" ht="15.75" customHeight="1"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</row>
    <row r="915" ht="15.75" customHeight="1"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</row>
    <row r="916" ht="15.75" customHeight="1"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</row>
    <row r="917" ht="15.75" customHeight="1"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</row>
    <row r="918" ht="15.75" customHeight="1"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</row>
    <row r="919" ht="15.75" customHeight="1"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</row>
    <row r="920" ht="15.75" customHeight="1"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</row>
    <row r="921" ht="15.75" customHeight="1"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</row>
    <row r="922" ht="15.75" customHeight="1"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</row>
    <row r="923" ht="15.75" customHeight="1"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</row>
    <row r="924" ht="15.75" customHeight="1"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</row>
    <row r="925" ht="15.75" customHeight="1"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</row>
    <row r="926" ht="15.75" customHeight="1"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</row>
    <row r="927" ht="15.75" customHeight="1"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</row>
    <row r="928" ht="15.75" customHeight="1"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</row>
    <row r="929" ht="15.75" customHeight="1"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</row>
    <row r="930" ht="15.75" customHeight="1"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</row>
    <row r="931" ht="15.75" customHeight="1"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</row>
    <row r="932" ht="15.75" customHeight="1"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</row>
    <row r="933" ht="15.75" customHeight="1"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</row>
    <row r="934" ht="15.75" customHeight="1"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</row>
    <row r="935" ht="15.75" customHeight="1"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</row>
    <row r="936" ht="15.75" customHeight="1"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</row>
    <row r="937" ht="15.75" customHeight="1"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</row>
    <row r="938" ht="15.75" customHeight="1"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</row>
    <row r="939" ht="15.75" customHeight="1"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</row>
    <row r="940" ht="15.75" customHeight="1"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</row>
    <row r="941" ht="15.75" customHeight="1"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</row>
    <row r="942" ht="15.75" customHeight="1"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</row>
    <row r="943" ht="15.75" customHeight="1"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</row>
    <row r="944" ht="15.75" customHeight="1"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</row>
    <row r="945" ht="15.75" customHeight="1"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</row>
    <row r="946" ht="15.75" customHeight="1"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</row>
    <row r="947" ht="15.75" customHeight="1"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</row>
    <row r="948" ht="15.75" customHeight="1"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</row>
    <row r="949" ht="15.75" customHeight="1"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</row>
    <row r="950" ht="15.75" customHeight="1"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</row>
    <row r="951" ht="15.75" customHeight="1"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</row>
    <row r="952" ht="15.75" customHeight="1"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</row>
    <row r="953" ht="15.75" customHeight="1"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</row>
    <row r="954" ht="15.75" customHeight="1"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</row>
    <row r="955" ht="15.75" customHeight="1"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</row>
    <row r="956" ht="15.75" customHeight="1"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</row>
    <row r="957" ht="15.75" customHeight="1"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</row>
    <row r="958" ht="15.75" customHeight="1"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</row>
    <row r="959" ht="15.75" customHeight="1"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</row>
    <row r="960" ht="15.75" customHeight="1"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</row>
    <row r="961" ht="15.75" customHeight="1"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</row>
    <row r="962" ht="15.75" customHeight="1"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</row>
    <row r="963" ht="15.75" customHeight="1"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</row>
    <row r="964" ht="15.75" customHeight="1"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</row>
    <row r="965" ht="15.75" customHeight="1"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</row>
    <row r="966" ht="15.75" customHeight="1"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</row>
    <row r="967" ht="15.75" customHeight="1"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</row>
    <row r="968" ht="15.75" customHeight="1"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</row>
    <row r="969" ht="15.75" customHeight="1"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</row>
    <row r="970" ht="15.75" customHeight="1"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</row>
    <row r="971" ht="15.75" customHeight="1"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</row>
    <row r="972" ht="15.75" customHeight="1"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</row>
    <row r="973" ht="15.75" customHeight="1"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</row>
    <row r="974" ht="15.75" customHeight="1"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</row>
    <row r="975" ht="15.75" customHeight="1"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</row>
    <row r="976" ht="15.75" customHeight="1"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</row>
    <row r="977" ht="15.75" customHeight="1"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</row>
    <row r="978" ht="15.75" customHeight="1"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</row>
    <row r="979" ht="15.75" customHeight="1"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</row>
    <row r="980" ht="15.75" customHeight="1"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</row>
    <row r="981" ht="15.75" customHeight="1"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</row>
    <row r="982" ht="15.75" customHeight="1"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</row>
    <row r="983" ht="15.75" customHeight="1"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</row>
    <row r="984" ht="15.75" customHeight="1"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</row>
    <row r="985" ht="15.75" customHeight="1"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</row>
    <row r="986" ht="15.75" customHeight="1"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</row>
    <row r="987" ht="15.75" customHeight="1"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</row>
    <row r="988" ht="15.75" customHeight="1"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</row>
    <row r="989" ht="15.75" customHeight="1"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</row>
    <row r="990" ht="15.75" customHeight="1"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</row>
    <row r="991" ht="15.75" customHeight="1"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</row>
    <row r="992" ht="15.75" customHeight="1"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</row>
    <row r="993" ht="15.75" customHeight="1"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</row>
    <row r="994" ht="15.75" customHeight="1"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</row>
    <row r="995" ht="15.75" customHeight="1"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</row>
    <row r="996" ht="15.75" customHeight="1"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</row>
    <row r="997" ht="15.75" customHeight="1"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</row>
    <row r="998" ht="15.75" customHeight="1"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</row>
    <row r="999" ht="15.75" customHeight="1"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</row>
    <row r="1000" ht="15.75" customHeight="1"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</row>
  </sheetData>
  <mergeCells count="1">
    <mergeCell ref="A1:O1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2012-05-02T03:08:07Z</dcterms:created>
  <dc:creator>Felipe Oviedo Frosi</dc:creator>
</cp:coreProperties>
</file>